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03658CC7-2DF9-485C-8D98-F17181A783BD}" xr6:coauthVersionLast="47" xr6:coauthVersionMax="47" xr10:uidLastSave="{00000000-0000-0000-0000-000000000000}"/>
  <bookViews>
    <workbookView xWindow="-120" yWindow="-120" windowWidth="24240" windowHeight="13020" tabRatio="627" activeTab="2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<sst xmlns="http://schemas.openxmlformats.org/spreadsheetml/2006/main" count="301" uniqueCount="90">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</sst>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15" fillId="1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8" fillId="0" borderId="0" xfId="0" applyFont="1" applyAlignment="1">
      <alignment horizontal="right" wrapText="1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14" fontId="0" fillId="0" borderId="6" xfId="0" applyNumberFormat="1" applyBorder="1" applyAlignment="1">
      <alignment horizontal="left"/>
    </xf>
    <xf numFmtId="0" fontId="19" fillId="3" borderId="6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2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114299</xdr:colOff>
      <xdr:row>4</xdr:row>
      <xdr:rowOff>228513</xdr:rowOff>
    </xdr:from>
    <xdr:to>
      <xdr:col>3</xdr:col>
      <xdr:colOff>790574</xdr:colOff>
      <xdr:row>9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619624" y="1238163"/>
          <a:ext cx="676275" cy="962112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483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95250</xdr:rowOff>
    </xdr:from>
    <xdr:to>
      <xdr:col>5</xdr:col>
      <xdr:colOff>180975</xdr:colOff>
      <xdr:row>25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134350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255304</xdr:rowOff>
    </xdr:from>
    <xdr:to>
      <xdr:col>5</xdr:col>
      <xdr:colOff>171448</xdr:colOff>
      <xdr:row>26</xdr:row>
      <xdr:rowOff>523876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513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533400</xdr:colOff>
      <xdr:row>4</xdr:row>
      <xdr:rowOff>5454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217DA551-BB68-4AD5-93D5-0BE527B1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1813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533400</xdr:colOff>
      <xdr:row>4</xdr:row>
      <xdr:rowOff>5454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11F002D9-EDF6-4978-9E55-AA58FC0F1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4400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533400</xdr:colOff>
      <xdr:row>4</xdr:row>
      <xdr:rowOff>5454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DB8D3EC7-F9FB-4A38-9524-F8785E10F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435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533400</xdr:colOff>
      <xdr:row>4</xdr:row>
      <xdr:rowOff>5454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6A35CABC-0D0E-4E72-B5B2-BC4425FDE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1339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533400</xdr:colOff>
      <xdr:row>4</xdr:row>
      <xdr:rowOff>5454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B6320EF1-CD00-43BA-90B8-AE7E0C5A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63531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</xdr:row>
      <xdr:rowOff>0</xdr:rowOff>
    </xdr:from>
    <xdr:to>
      <xdr:col>10</xdr:col>
      <xdr:colOff>533400</xdr:colOff>
      <xdr:row>4</xdr:row>
      <xdr:rowOff>538854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1FA96206-F244-4B69-A4F9-C50C63B57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1339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533400</xdr:colOff>
      <xdr:row>4</xdr:row>
      <xdr:rowOff>538854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716128D7-1CCE-4F1B-BE1B-C6F6E2FD9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435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533400</xdr:colOff>
      <xdr:row>4</xdr:row>
      <xdr:rowOff>538854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C440594C-CDE9-4083-A2B0-03D337B7D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63531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</xdr:row>
      <xdr:rowOff>0</xdr:rowOff>
    </xdr:from>
    <xdr:to>
      <xdr:col>14</xdr:col>
      <xdr:colOff>533400</xdr:colOff>
      <xdr:row>4</xdr:row>
      <xdr:rowOff>538854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3E7E24BF-3C2A-4F4E-8884-F75F0C9F4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067550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533400</xdr:colOff>
      <xdr:row>4</xdr:row>
      <xdr:rowOff>538854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2FCA9DC1-B6FE-4639-B4F6-B1559B88D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677150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</xdr:row>
      <xdr:rowOff>0</xdr:rowOff>
    </xdr:from>
    <xdr:to>
      <xdr:col>16</xdr:col>
      <xdr:colOff>533400</xdr:colOff>
      <xdr:row>4</xdr:row>
      <xdr:rowOff>538854</xdr:rowOff>
    </xdr:to>
    <xdr:pic>
      <xdr:nvPicPr>
        <xdr:cNvPr id="197" name="Picture 196">
          <a:extLst>
            <a:ext uri="{FF2B5EF4-FFF2-40B4-BE49-F238E27FC236}">
              <a16:creationId xmlns:a16="http://schemas.microsoft.com/office/drawing/2014/main" id="{E893DB9F-AE32-4627-89A2-14F7565E5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286750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533400</xdr:colOff>
      <xdr:row>4</xdr:row>
      <xdr:rowOff>5454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C26290D3-A729-43A8-8EC5-777638071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067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</xdr:row>
      <xdr:rowOff>0</xdr:rowOff>
    </xdr:from>
    <xdr:to>
      <xdr:col>15</xdr:col>
      <xdr:colOff>533400</xdr:colOff>
      <xdr:row>4</xdr:row>
      <xdr:rowOff>5454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9C747535-CC4F-48AA-86AC-A7CA9564B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6771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16</xdr:col>
      <xdr:colOff>533400</xdr:colOff>
      <xdr:row>4</xdr:row>
      <xdr:rowOff>5454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932D6E45-1491-4D2C-808C-64424997D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2867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3</xdr:row>
      <xdr:rowOff>0</xdr:rowOff>
    </xdr:from>
    <xdr:to>
      <xdr:col>18</xdr:col>
      <xdr:colOff>533400</xdr:colOff>
      <xdr:row>4</xdr:row>
      <xdr:rowOff>5454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71C6F6C8-2F01-43BD-9748-811F6D77A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0011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533400</xdr:colOff>
      <xdr:row>4</xdr:row>
      <xdr:rowOff>5454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141D3CD1-E699-40CB-8664-8721B1188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6107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533400</xdr:colOff>
      <xdr:row>4</xdr:row>
      <xdr:rowOff>5454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D29D7055-1E09-40A4-B869-A313AFEB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0220325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opLeftCell="A19" workbookViewId="0">
      <selection activeCell="D22" sqref="D22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1"/>
      <c r="B1" s="79"/>
      <c r="C1" s="80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1"/>
      <c r="B2" s="80"/>
      <c r="C2" s="80"/>
      <c r="D2" s="45" t="s">
        <v>71</v>
      </c>
      <c r="E2" s="76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2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8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8"/>
      <c r="B5" s="32" t="s">
        <v>0</v>
      </c>
      <c r="C5" s="33" t="s">
        <v>36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8"/>
      <c r="B6" s="32" t="s">
        <v>2</v>
      </c>
      <c r="C6" s="34" t="s">
        <v>37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8"/>
      <c r="B7" s="32" t="s">
        <v>4</v>
      </c>
      <c r="C7" s="34" t="s">
        <v>38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8"/>
      <c r="B8" s="32" t="s">
        <v>5</v>
      </c>
      <c r="C8" s="35" t="s">
        <v>39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8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8"/>
      <c r="B10" s="32" t="s">
        <v>7</v>
      </c>
      <c r="C10" s="36" t="s">
        <v>41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8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8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77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9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4.2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TextBox3">
          <controlPr defaultSize="0" autoLine="0" r:id="rId5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4" name="TextBox3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43" r:id="rId8" name="TextBox1">
          <controlPr defaultSize="0" autoLine="0" r:id="rId9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8" name="TextBox1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2" t="s">
        <v>16</v>
      </c>
      <c r="I2" s="83"/>
      <c r="J2" s="83"/>
      <c r="L2" s="83" t="s">
        <v>17</v>
      </c>
      <c r="M2" s="83"/>
      <c r="N2" s="83"/>
      <c r="P2" s="83" t="s">
        <v>18</v>
      </c>
      <c r="Q2" s="83"/>
      <c r="R2" s="83"/>
      <c r="T2" s="83" t="s">
        <v>19</v>
      </c>
      <c r="U2" s="83"/>
      <c r="V2" s="83"/>
      <c r="X2" s="83" t="s">
        <v>20</v>
      </c>
      <c r="Y2" s="83"/>
      <c r="Z2" s="83"/>
      <c r="AB2" s="83" t="s">
        <v>21</v>
      </c>
      <c r="AC2" s="83"/>
      <c r="AD2" s="83"/>
      <c r="AF2" s="83" t="s">
        <v>22</v>
      </c>
      <c r="AG2" s="83"/>
      <c r="AH2" s="83"/>
      <c r="AJ2" s="83" t="s">
        <v>23</v>
      </c>
      <c r="AK2" s="83"/>
      <c r="AL2" s="83"/>
      <c r="AN2" s="83" t="s">
        <v>24</v>
      </c>
      <c r="AO2" s="83"/>
      <c r="AP2" s="83"/>
      <c r="AR2" s="83" t="s">
        <v>25</v>
      </c>
      <c r="AS2" s="83"/>
      <c r="AT2" s="83"/>
      <c r="AV2" s="85"/>
      <c r="AW2" s="85"/>
      <c r="AX2" s="85"/>
      <c r="AZ2" s="85"/>
      <c r="BA2" s="85"/>
      <c r="BB2" s="85"/>
      <c r="BD2" s="85"/>
      <c r="BE2" s="85"/>
      <c r="BF2" s="85"/>
      <c r="BH2" s="15" t="s">
        <v>26</v>
      </c>
      <c r="BI2" s="16"/>
      <c r="BJ2" s="84" t="s">
        <v>27</v>
      </c>
      <c r="BK2" s="84"/>
      <c r="BL2" s="84"/>
      <c r="BM2" s="16"/>
      <c r="BN2" s="84" t="s">
        <v>28</v>
      </c>
      <c r="BO2" s="84"/>
      <c r="BP2" s="84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sheetProtection algorithmName="SHA-512" hashValue="k/wfhIZMwW3XO4RFkzeiFCxyuQNfKy8NWZJHf0BsLjdUj5JbwqrxLi2DbtiTqVPbScbnzS9JgDNNslyYYecy5A==" saltValue="QhBvV5ez221jnoHqdny46w==" spinCount="100000" sheet="1" objects="1" scenarios="1"/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5"/>
  <sheetViews>
    <sheetView tabSelected="1" topLeftCell="K1" workbookViewId="0">
      <selection activeCell="U4" sqref="U4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3" t="s">
        <v>16</v>
      </c>
      <c r="D1" s="83"/>
      <c r="E1" s="83"/>
      <c r="G1" s="83" t="s">
        <v>17</v>
      </c>
      <c r="H1" s="83"/>
      <c r="I1" s="83"/>
      <c r="K1" s="83" t="s">
        <v>18</v>
      </c>
      <c r="L1" s="83"/>
      <c r="M1" s="83"/>
      <c r="O1" s="83" t="s">
        <v>19</v>
      </c>
      <c r="P1" s="83"/>
      <c r="Q1" s="83"/>
      <c r="S1" s="83" t="s">
        <v>47</v>
      </c>
      <c r="T1" s="83"/>
      <c r="U1" s="83"/>
      <c r="V1" s="11"/>
      <c r="W1" s="87" t="s">
        <v>23</v>
      </c>
      <c r="X1" s="87"/>
      <c r="Y1" s="87"/>
      <c r="Z1" s="11"/>
      <c r="AA1" s="86"/>
      <c r="AB1" s="86"/>
      <c r="AC1" s="86"/>
      <c r="AD1" s="11"/>
      <c r="AE1" s="86"/>
      <c r="AF1" s="86"/>
      <c r="AG1" s="86"/>
      <c r="AH1" s="11"/>
      <c r="AI1" s="14" t="s">
        <v>48</v>
      </c>
      <c r="AJ1" s="83" t="s">
        <v>24</v>
      </c>
      <c r="AK1" s="83"/>
      <c r="AL1" s="83"/>
      <c r="AM1" s="8"/>
      <c r="AN1" s="83" t="s">
        <v>25</v>
      </c>
      <c r="AO1" s="83"/>
      <c r="AP1" s="83"/>
      <c r="AQ1" s="8"/>
      <c r="AR1" s="86"/>
      <c r="AS1" s="86"/>
      <c r="AT1" s="86"/>
      <c r="AU1" s="8"/>
      <c r="AV1" s="86"/>
      <c r="AW1" s="86"/>
      <c r="AX1" s="86"/>
      <c r="AY1" s="8"/>
      <c r="AZ1" s="86"/>
      <c r="BA1" s="86"/>
      <c r="BB1" s="86"/>
      <c r="BD1" s="15" t="s">
        <v>26</v>
      </c>
      <c r="BF1" s="84" t="s">
        <v>27</v>
      </c>
      <c r="BG1" s="84"/>
      <c r="BH1" s="84"/>
      <c r="BJ1" s="84" t="s">
        <v>28</v>
      </c>
      <c r="BK1" s="84"/>
      <c r="BL1" s="84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  <row r="5" spans="2:64" ht="56.25" customHeight="1" x14ac:dyDescent="0.25"/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sheetProtection algorithmName="SHA-512" hashValue="zP8pUk4cx1qukLoo1EAS5oV4484nBcY/p/Wqp1ULTY1Rt8+WKDzfbpHsPiWhRv140vMxiDmDVUQqRzchdOlSAQ==" saltValue="MWhGa1wBrqrZIvoYgZFv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9">
        <f ca="1">TODAY()</f>
        <v>46171</v>
      </c>
      <c r="I1" s="99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93" t="s">
        <v>60</v>
      </c>
      <c r="I3" s="93"/>
      <c r="J3" s="93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2" t="s">
        <v>0</v>
      </c>
      <c r="B4" s="92"/>
      <c r="C4" s="93" t="str">
        <f>FrontPage!C5</f>
        <v>Bar N Ranch</v>
      </c>
      <c r="D4" s="93"/>
      <c r="E4" s="93"/>
      <c r="H4" s="93" t="s">
        <v>61</v>
      </c>
      <c r="I4" s="93"/>
      <c r="J4" s="93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2" t="s">
        <v>2</v>
      </c>
      <c r="B5" s="92"/>
      <c r="C5" s="93" t="str">
        <f>FrontPage!C6</f>
        <v>Barry Bar</v>
      </c>
      <c r="D5" s="93"/>
      <c r="E5" s="93"/>
      <c r="H5" s="93" t="s">
        <v>62</v>
      </c>
      <c r="I5" s="93"/>
      <c r="J5" s="93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93" t="str">
        <f>FrontPage!C7</f>
        <v>Box 32</v>
      </c>
      <c r="D6" s="93"/>
      <c r="E6" s="93"/>
      <c r="H6" s="93" t="s">
        <v>63</v>
      </c>
      <c r="I6" s="93"/>
      <c r="J6" s="93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2" t="s">
        <v>5</v>
      </c>
      <c r="B7" s="92"/>
      <c r="C7" s="93" t="str">
        <f>FrontPage!C8</f>
        <v>Black Diamond</v>
      </c>
      <c r="D7" s="93"/>
      <c r="E7" s="93"/>
      <c r="H7" s="93" t="s">
        <v>64</v>
      </c>
      <c r="I7" s="93"/>
      <c r="J7" s="93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2" t="s">
        <v>6</v>
      </c>
      <c r="B8" s="92"/>
      <c r="C8" s="93" t="str">
        <f>FrontPage!C9</f>
        <v>AB</v>
      </c>
      <c r="D8" s="93"/>
      <c r="E8" s="93"/>
      <c r="H8" s="93" t="s">
        <v>65</v>
      </c>
      <c r="I8" s="93"/>
      <c r="J8" s="93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2" t="s">
        <v>7</v>
      </c>
      <c r="B9" s="92"/>
      <c r="C9" s="93" t="str">
        <f>FrontPage!C10</f>
        <v>T0B 1Z3</v>
      </c>
      <c r="D9" s="93"/>
      <c r="E9" s="93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95" t="s">
        <v>9</v>
      </c>
      <c r="B11" s="95"/>
      <c r="C11" s="95"/>
      <c r="D11" s="95"/>
      <c r="E11" s="95"/>
      <c r="F11" s="95"/>
      <c r="G11" s="95"/>
      <c r="H11" s="95"/>
      <c r="I11" s="95"/>
      <c r="J11" s="95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6" t="s">
        <v>67</v>
      </c>
      <c r="C12" s="96"/>
      <c r="D12" s="96"/>
      <c r="E12" s="96"/>
      <c r="F12" s="96"/>
      <c r="G12" s="96"/>
      <c r="H12" s="96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4"/>
      <c r="C13" s="84"/>
      <c r="D13" s="84"/>
      <c r="E13" s="84"/>
      <c r="F13" s="84"/>
      <c r="G13" s="84"/>
      <c r="H13" s="84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4"/>
      <c r="C14" s="84"/>
      <c r="D14" s="84"/>
      <c r="E14" s="84"/>
      <c r="F14" s="84"/>
      <c r="G14" s="84"/>
      <c r="H14" s="84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4"/>
      <c r="C17" s="84"/>
      <c r="D17" s="84"/>
      <c r="E17" s="84"/>
      <c r="F17" s="84"/>
      <c r="G17" s="84"/>
      <c r="H17" s="84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4"/>
      <c r="C18" s="84"/>
      <c r="D18" s="84"/>
      <c r="E18" s="84"/>
      <c r="F18" s="84"/>
      <c r="G18" s="84"/>
      <c r="H18" s="84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4"/>
      <c r="C19" s="84"/>
      <c r="D19" s="84"/>
      <c r="E19" s="84"/>
      <c r="F19" s="84"/>
      <c r="G19" s="84"/>
      <c r="H19" s="84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4" t="s">
        <v>54</v>
      </c>
      <c r="B20" s="94"/>
      <c r="C20" s="94"/>
      <c r="D20" s="94"/>
      <c r="E20" s="94"/>
      <c r="F20" s="94"/>
      <c r="G20" s="94"/>
      <c r="H20" s="94"/>
      <c r="I20" s="94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89"/>
      <c r="D21" s="89"/>
      <c r="E21" s="89"/>
      <c r="F21" s="89"/>
      <c r="G21" s="89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89"/>
      <c r="D22" s="89"/>
      <c r="E22" s="89"/>
      <c r="F22" s="89"/>
      <c r="G22" s="89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89"/>
      <c r="D23" s="89"/>
      <c r="E23" s="89"/>
      <c r="F23" s="89"/>
      <c r="G23" s="89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8" t="s">
        <v>70</v>
      </c>
      <c r="E26" s="98"/>
      <c r="G26" s="1" t="s">
        <v>53</v>
      </c>
      <c r="H26" s="97">
        <f ca="1">H1</f>
        <v>46171</v>
      </c>
      <c r="I26" s="97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93" t="str">
        <f>H3</f>
        <v>Central Labs Ltd.</v>
      </c>
      <c r="I28" s="93"/>
      <c r="J28" s="93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2" t="s">
        <v>0</v>
      </c>
      <c r="B29" s="92"/>
      <c r="C29" s="93" t="str">
        <f t="shared" ref="C29:C34" si="1">C4</f>
        <v>Bar N Ranch</v>
      </c>
      <c r="D29" s="93"/>
      <c r="E29" s="93"/>
      <c r="H29" s="93" t="str">
        <f>H4</f>
        <v>B5, 53-Burnt Park Drive</v>
      </c>
      <c r="I29" s="93"/>
      <c r="J29" s="93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2" t="s">
        <v>2</v>
      </c>
      <c r="B30" s="92"/>
      <c r="C30" s="93" t="str">
        <f t="shared" si="1"/>
        <v>Barry Bar</v>
      </c>
      <c r="D30" s="93"/>
      <c r="E30" s="93"/>
      <c r="H30" s="93" t="str">
        <f t="shared" ref="H30:H33" si="2">H5</f>
        <v>Red Deer, AB; T4P 0J7</v>
      </c>
      <c r="I30" s="93"/>
      <c r="J30" s="93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93" t="str">
        <f t="shared" si="1"/>
        <v>Box 32</v>
      </c>
      <c r="D31" s="93"/>
      <c r="E31" s="93"/>
      <c r="H31" s="93" t="str">
        <f t="shared" si="2"/>
        <v>Ph: (403) 348-8378</v>
      </c>
      <c r="I31" s="93"/>
      <c r="J31" s="93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2" t="s">
        <v>5</v>
      </c>
      <c r="B32" s="92"/>
      <c r="C32" s="93" t="str">
        <f t="shared" si="1"/>
        <v>Black Diamond</v>
      </c>
      <c r="D32" s="93"/>
      <c r="E32" s="93"/>
      <c r="H32" s="93" t="str">
        <f t="shared" si="2"/>
        <v>GST: 81583 0427 RT0001</v>
      </c>
      <c r="I32" s="93"/>
      <c r="J32" s="93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2" t="s">
        <v>6</v>
      </c>
      <c r="B33" s="92"/>
      <c r="C33" s="93" t="str">
        <f t="shared" si="1"/>
        <v>AB</v>
      </c>
      <c r="D33" s="93"/>
      <c r="E33" s="93"/>
      <c r="H33" s="93" t="str">
        <f t="shared" si="2"/>
        <v>Email: reporting@c-labs.ca</v>
      </c>
      <c r="I33" s="93"/>
      <c r="J33" s="93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2" t="s">
        <v>7</v>
      </c>
      <c r="B34" s="92"/>
      <c r="C34" s="93" t="str">
        <f t="shared" si="1"/>
        <v>T0B 1Z3</v>
      </c>
      <c r="D34" s="93"/>
      <c r="E34" s="93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95" t="s">
        <v>9</v>
      </c>
      <c r="B36" s="95"/>
      <c r="C36" s="95"/>
      <c r="D36" s="95"/>
      <c r="E36" s="95"/>
      <c r="F36" s="95"/>
      <c r="G36" s="95"/>
      <c r="H36" s="95"/>
      <c r="I36" s="95"/>
      <c r="J36" s="95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6" t="s">
        <v>67</v>
      </c>
      <c r="C37" s="96"/>
      <c r="D37" s="96"/>
      <c r="E37" s="96"/>
      <c r="F37" s="96"/>
      <c r="G37" s="96"/>
      <c r="H37" s="96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4">
        <f>B13</f>
        <v>0</v>
      </c>
      <c r="C38" s="84"/>
      <c r="D38" s="84"/>
      <c r="E38" s="84"/>
      <c r="F38" s="84"/>
      <c r="G38" s="84"/>
      <c r="H38" s="84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4">
        <f t="shared" si="3"/>
        <v>0</v>
      </c>
      <c r="C39" s="84"/>
      <c r="D39" s="84"/>
      <c r="E39" s="84"/>
      <c r="F39" s="84"/>
      <c r="G39" s="84"/>
      <c r="H39" s="84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4">
        <f t="shared" si="3"/>
        <v>0</v>
      </c>
      <c r="C40" s="84"/>
      <c r="D40" s="84"/>
      <c r="E40" s="84"/>
      <c r="F40" s="84"/>
      <c r="G40" s="84"/>
      <c r="H40" s="84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4">
        <f t="shared" si="3"/>
        <v>0</v>
      </c>
      <c r="C41" s="84"/>
      <c r="D41" s="84"/>
      <c r="E41" s="84"/>
      <c r="F41" s="84"/>
      <c r="G41" s="84"/>
      <c r="H41" s="84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4">
        <f t="shared" si="3"/>
        <v>0</v>
      </c>
      <c r="C42" s="84"/>
      <c r="D42" s="84"/>
      <c r="E42" s="84"/>
      <c r="F42" s="84"/>
      <c r="G42" s="84"/>
      <c r="H42" s="84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4">
        <f t="shared" si="3"/>
        <v>0</v>
      </c>
      <c r="C43" s="84"/>
      <c r="D43" s="84"/>
      <c r="E43" s="84"/>
      <c r="F43" s="84"/>
      <c r="G43" s="84"/>
      <c r="H43" s="84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4">
        <f t="shared" si="3"/>
        <v>0</v>
      </c>
      <c r="C44" s="84"/>
      <c r="D44" s="84"/>
      <c r="E44" s="84"/>
      <c r="F44" s="84"/>
      <c r="G44" s="84"/>
      <c r="H44" s="84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4" t="s">
        <v>54</v>
      </c>
      <c r="B45" s="94"/>
      <c r="C45" s="94"/>
      <c r="D45" s="94"/>
      <c r="E45" s="94"/>
      <c r="F45" s="94"/>
      <c r="G45" s="94"/>
      <c r="H45" s="94"/>
      <c r="I45" s="94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0" t="s">
        <v>69</v>
      </c>
      <c r="D46" s="91"/>
      <c r="E46" s="89"/>
      <c r="F46" s="88" t="s">
        <v>76</v>
      </c>
      <c r="G46" s="88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1"/>
      <c r="D47" s="91"/>
      <c r="E47" s="89"/>
      <c r="F47" s="88"/>
      <c r="G47" s="88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1"/>
      <c r="D48" s="91"/>
      <c r="E48" s="89"/>
      <c r="F48" s="88"/>
      <c r="G48" s="88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C31:E31"/>
    <mergeCell ref="C32:E32"/>
    <mergeCell ref="C34:E34"/>
    <mergeCell ref="A36:J36"/>
    <mergeCell ref="B37:H37"/>
    <mergeCell ref="A34:B34"/>
    <mergeCell ref="H31:J31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autoPict="0" r:id="rId6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9">
        <f ca="1">TODAY()</f>
        <v>46171</v>
      </c>
      <c r="F1" s="93"/>
      <c r="G1" s="116"/>
      <c r="H1" s="117"/>
      <c r="I1" s="117"/>
      <c r="J1" s="118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19"/>
      <c r="H2" s="84"/>
      <c r="I2" s="84"/>
      <c r="J2" s="120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00" t="s">
        <v>58</v>
      </c>
      <c r="B3" s="100"/>
      <c r="C3" s="100"/>
      <c r="D3" s="100"/>
      <c r="E3" s="100"/>
      <c r="G3" s="119"/>
      <c r="H3" s="84"/>
      <c r="I3" s="84"/>
      <c r="J3" s="120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93" t="str">
        <f>FrontPage!C5</f>
        <v>Bar N Ranch</v>
      </c>
      <c r="D4" s="93"/>
      <c r="E4" s="93"/>
      <c r="G4" s="121"/>
      <c r="H4" s="122"/>
      <c r="I4" s="122"/>
      <c r="J4" s="123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93" t="str">
        <f>FrontPage!C6</f>
        <v>Barry Bar</v>
      </c>
      <c r="D5" s="93"/>
      <c r="E5" s="93"/>
      <c r="G5" t="s">
        <v>59</v>
      </c>
      <c r="H5" t="s">
        <v>60</v>
      </c>
    </row>
    <row r="6" spans="1:28" x14ac:dyDescent="0.25">
      <c r="B6" s="9" t="s">
        <v>4</v>
      </c>
      <c r="C6" s="93" t="str">
        <f>FrontPage!C7</f>
        <v>Box 32</v>
      </c>
      <c r="D6" s="93"/>
      <c r="E6" s="93"/>
      <c r="H6" t="s">
        <v>61</v>
      </c>
    </row>
    <row r="7" spans="1:28" x14ac:dyDescent="0.25">
      <c r="B7" s="9" t="s">
        <v>5</v>
      </c>
      <c r="C7" s="93" t="str">
        <f>FrontPage!C8</f>
        <v>Black Diamond</v>
      </c>
      <c r="D7" s="93"/>
      <c r="E7" s="93"/>
      <c r="H7" t="s">
        <v>62</v>
      </c>
    </row>
    <row r="8" spans="1:28" x14ac:dyDescent="0.25">
      <c r="B8" s="9" t="s">
        <v>6</v>
      </c>
      <c r="C8" s="93" t="str">
        <f>FrontPage!C9</f>
        <v>AB</v>
      </c>
      <c r="D8" s="93"/>
      <c r="E8" s="93"/>
      <c r="H8" t="s">
        <v>63</v>
      </c>
    </row>
    <row r="9" spans="1:28" ht="15.75" thickBot="1" x14ac:dyDescent="0.3">
      <c r="B9" s="9" t="s">
        <v>7</v>
      </c>
      <c r="C9" s="93" t="str">
        <f>FrontPage!C10</f>
        <v>T0B 1Z3</v>
      </c>
      <c r="D9" s="93"/>
      <c r="E9" s="93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8" t="s">
        <v>89</v>
      </c>
      <c r="F10" s="98"/>
      <c r="G10" s="61"/>
      <c r="H10" s="61"/>
      <c r="I10" s="61"/>
      <c r="J10" s="61"/>
    </row>
    <row r="11" spans="1:28" x14ac:dyDescent="0.25">
      <c r="A11" s="38" t="s">
        <v>66</v>
      </c>
      <c r="B11" s="96" t="s">
        <v>67</v>
      </c>
      <c r="C11" s="96"/>
      <c r="D11" s="96"/>
      <c r="E11" s="96"/>
      <c r="F11" s="96"/>
      <c r="G11" s="96"/>
      <c r="H11" s="96"/>
      <c r="I11" s="39" t="s">
        <v>12</v>
      </c>
      <c r="J11" s="39" t="s">
        <v>68</v>
      </c>
    </row>
    <row r="12" spans="1:28" x14ac:dyDescent="0.25">
      <c r="A12">
        <v>1</v>
      </c>
      <c r="B12" s="84" t="s">
        <v>16</v>
      </c>
      <c r="C12" s="84"/>
      <c r="D12" s="84"/>
      <c r="E12" s="84"/>
      <c r="F12" s="84"/>
      <c r="G12" s="84"/>
      <c r="H12" s="84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4" t="s">
        <v>17</v>
      </c>
      <c r="C13" s="84"/>
      <c r="D13" s="84"/>
      <c r="E13" s="84"/>
      <c r="F13" s="84"/>
      <c r="G13" s="84"/>
      <c r="H13" s="84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4" t="s">
        <v>18</v>
      </c>
      <c r="C14" s="84"/>
      <c r="D14" s="84"/>
      <c r="E14" s="84"/>
      <c r="F14" s="84"/>
      <c r="G14" s="84"/>
      <c r="H14" s="84"/>
      <c r="I14" s="41">
        <v>195</v>
      </c>
      <c r="J14" s="41">
        <f t="shared" si="0"/>
        <v>780</v>
      </c>
    </row>
    <row r="15" spans="1:28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</row>
    <row r="16" spans="1:28" ht="15.75" thickBot="1" x14ac:dyDescent="0.3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</row>
    <row r="17" spans="1:10" ht="15.75" thickTop="1" x14ac:dyDescent="0.25">
      <c r="A17" s="94" t="s">
        <v>54</v>
      </c>
      <c r="B17" s="94"/>
      <c r="C17" s="94"/>
      <c r="D17" s="94"/>
      <c r="E17" s="94"/>
      <c r="F17" s="94"/>
      <c r="G17" s="94"/>
      <c r="H17" s="94"/>
      <c r="I17" s="94"/>
      <c r="J17" s="64">
        <f>SUM(J12:J16)</f>
        <v>1320</v>
      </c>
    </row>
    <row r="18" spans="1:10" x14ac:dyDescent="0.25">
      <c r="B18" s="89"/>
      <c r="C18" s="89"/>
      <c r="D18" s="107" t="s">
        <v>86</v>
      </c>
      <c r="E18" s="89"/>
      <c r="F18" s="89"/>
      <c r="G18" s="92" t="s">
        <v>84</v>
      </c>
      <c r="H18" s="92"/>
      <c r="I18" s="92"/>
      <c r="J18" s="41">
        <f>J17*Z1</f>
        <v>79.2</v>
      </c>
    </row>
    <row r="19" spans="1:10" ht="6" customHeight="1" thickBot="1" x14ac:dyDescent="0.3">
      <c r="B19" s="89"/>
      <c r="C19" s="89"/>
      <c r="D19" s="107"/>
      <c r="E19" s="89"/>
      <c r="F19" s="89"/>
      <c r="I19" s="9"/>
    </row>
    <row r="20" spans="1:10" ht="15.75" thickBot="1" x14ac:dyDescent="0.3">
      <c r="B20" s="89"/>
      <c r="C20" s="89"/>
      <c r="D20" s="107"/>
      <c r="E20" s="89"/>
      <c r="F20" s="89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46171</v>
      </c>
    </row>
    <row r="24" spans="1:10" ht="7.15" customHeight="1" x14ac:dyDescent="0.25"/>
    <row r="25" spans="1:10" x14ac:dyDescent="0.25">
      <c r="A25" s="100" t="s">
        <v>58</v>
      </c>
      <c r="B25" s="100"/>
      <c r="C25" s="100"/>
      <c r="D25" s="100"/>
      <c r="E25" s="100"/>
      <c r="G25" t="s">
        <v>59</v>
      </c>
      <c r="H25" t="s">
        <v>60</v>
      </c>
    </row>
    <row r="26" spans="1:10" x14ac:dyDescent="0.25">
      <c r="B26" s="9" t="s">
        <v>0</v>
      </c>
      <c r="C26" s="93" t="str">
        <f t="shared" ref="C26:C31" si="1">C4</f>
        <v>Bar N Ranch</v>
      </c>
      <c r="D26" s="93"/>
      <c r="E26" s="93"/>
      <c r="H26" t="s">
        <v>61</v>
      </c>
    </row>
    <row r="27" spans="1:10" x14ac:dyDescent="0.25">
      <c r="B27" s="9" t="s">
        <v>2</v>
      </c>
      <c r="C27" s="93" t="str">
        <f t="shared" si="1"/>
        <v>Barry Bar</v>
      </c>
      <c r="D27" s="93"/>
      <c r="E27" s="93"/>
      <c r="H27" t="s">
        <v>62</v>
      </c>
    </row>
    <row r="28" spans="1:10" x14ac:dyDescent="0.25">
      <c r="B28" s="9" t="s">
        <v>4</v>
      </c>
      <c r="C28" s="93" t="str">
        <f t="shared" si="1"/>
        <v>Box 32</v>
      </c>
      <c r="D28" s="93"/>
      <c r="E28" s="93"/>
      <c r="H28" t="s">
        <v>63</v>
      </c>
    </row>
    <row r="29" spans="1:10" x14ac:dyDescent="0.25">
      <c r="B29" s="9" t="s">
        <v>5</v>
      </c>
      <c r="C29" s="93" t="str">
        <f t="shared" si="1"/>
        <v>Black Diamond</v>
      </c>
      <c r="D29" s="93"/>
      <c r="E29" s="93"/>
      <c r="H29" t="s">
        <v>64</v>
      </c>
    </row>
    <row r="30" spans="1:10" x14ac:dyDescent="0.25">
      <c r="B30" s="9" t="s">
        <v>6</v>
      </c>
      <c r="C30" s="93" t="str">
        <f t="shared" si="1"/>
        <v>AB</v>
      </c>
      <c r="D30" s="93"/>
      <c r="E30" s="93"/>
      <c r="H30" t="s">
        <v>65</v>
      </c>
    </row>
    <row r="31" spans="1:10" ht="15.75" thickBot="1" x14ac:dyDescent="0.3">
      <c r="B31" s="9" t="s">
        <v>7</v>
      </c>
      <c r="C31" s="93" t="str">
        <f t="shared" si="1"/>
        <v>T0B 1Z3</v>
      </c>
      <c r="D31" s="93"/>
      <c r="E31" s="93"/>
    </row>
    <row r="32" spans="1:10" ht="12.6" customHeight="1" thickTop="1" x14ac:dyDescent="0.25">
      <c r="A32" s="61" t="s">
        <v>9</v>
      </c>
      <c r="B32" s="61"/>
      <c r="C32" s="61"/>
      <c r="D32" s="61"/>
      <c r="E32" s="98" t="s">
        <v>88</v>
      </c>
      <c r="F32" s="98"/>
      <c r="G32" s="61"/>
      <c r="H32" s="61"/>
      <c r="I32" s="61"/>
      <c r="J32" s="61"/>
    </row>
    <row r="33" spans="1:10" x14ac:dyDescent="0.25">
      <c r="A33" s="38" t="s">
        <v>66</v>
      </c>
      <c r="B33" s="96" t="s">
        <v>67</v>
      </c>
      <c r="C33" s="96"/>
      <c r="D33" s="96"/>
      <c r="E33" s="96"/>
      <c r="F33" s="96"/>
      <c r="G33" s="96"/>
      <c r="H33" s="96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4" t="str">
        <f t="shared" si="2"/>
        <v>Potable</v>
      </c>
      <c r="C34" s="84"/>
      <c r="D34" s="84"/>
      <c r="E34" s="84"/>
      <c r="F34" s="84"/>
      <c r="G34" s="84"/>
      <c r="H34" s="84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4" t="str">
        <f t="shared" si="2"/>
        <v>Total/E.Coli</v>
      </c>
      <c r="C35" s="84"/>
      <c r="D35" s="84"/>
      <c r="E35" s="84"/>
      <c r="F35" s="84"/>
      <c r="G35" s="84"/>
      <c r="H35" s="84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4" t="str">
        <f t="shared" si="2"/>
        <v>Potable Package</v>
      </c>
      <c r="C36" s="84"/>
      <c r="D36" s="84"/>
      <c r="E36" s="84"/>
      <c r="F36" s="84"/>
      <c r="G36" s="84"/>
      <c r="H36" s="84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4">
        <f t="shared" si="2"/>
        <v>0</v>
      </c>
      <c r="C37" s="84"/>
      <c r="D37" s="84"/>
      <c r="E37" s="84"/>
      <c r="F37" s="84"/>
      <c r="G37" s="84"/>
      <c r="H37" s="84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4">
        <f t="shared" si="2"/>
        <v>0</v>
      </c>
      <c r="C38" s="84"/>
      <c r="D38" s="84"/>
      <c r="E38" s="84"/>
      <c r="F38" s="84"/>
      <c r="G38" s="84"/>
      <c r="H38" s="84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4" t="s">
        <v>54</v>
      </c>
      <c r="B39" s="94"/>
      <c r="C39" s="94"/>
      <c r="D39" s="94"/>
      <c r="E39" s="94"/>
      <c r="F39" s="94"/>
      <c r="G39" s="94"/>
      <c r="H39" s="94"/>
      <c r="I39" s="94"/>
      <c r="J39" s="64">
        <f>J17</f>
        <v>1320</v>
      </c>
    </row>
    <row r="40" spans="1:10" x14ac:dyDescent="0.25">
      <c r="B40" s="109" t="s">
        <v>87</v>
      </c>
      <c r="C40" s="110"/>
      <c r="D40" s="108" t="s">
        <v>86</v>
      </c>
      <c r="E40" s="101" t="s">
        <v>85</v>
      </c>
      <c r="F40" s="102"/>
      <c r="G40" s="115" t="s">
        <v>84</v>
      </c>
      <c r="H40" s="92"/>
      <c r="I40" s="92"/>
      <c r="J40" s="41">
        <f>J18</f>
        <v>79.2</v>
      </c>
    </row>
    <row r="41" spans="1:10" ht="6" customHeight="1" x14ac:dyDescent="0.25">
      <c r="B41" s="111"/>
      <c r="C41" s="112"/>
      <c r="D41" s="108"/>
      <c r="E41" s="103"/>
      <c r="F41" s="104"/>
      <c r="I41" s="9"/>
    </row>
    <row r="42" spans="1:10" ht="15.75" thickBot="1" x14ac:dyDescent="0.3">
      <c r="B42" s="113"/>
      <c r="C42" s="114"/>
      <c r="D42" s="108"/>
      <c r="E42" s="105"/>
      <c r="F42" s="106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B16:H16"/>
    <mergeCell ref="B18:C20"/>
    <mergeCell ref="A39:I39"/>
    <mergeCell ref="B34:H34"/>
    <mergeCell ref="B35:H35"/>
    <mergeCell ref="B36:H36"/>
    <mergeCell ref="B37:H37"/>
    <mergeCell ref="B38:H38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ommandButton2">
          <controlPr defaultSize="0" autoFill="0" autoLine="0" autoPict="0" r:id="rId5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4" name="CommandButton2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Fill="0" autoLine="0" r:id="rId7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2026-05-29T08:56:12Z</dcterms:modified>
</cp:coreProperties>
</file>