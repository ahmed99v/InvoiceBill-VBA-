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Ahmed\GIT OWN REPO\InvoiceBill-VBA-\"/>
    </mc:Choice>
  </mc:AlternateContent>
  <xr:revisionPtr revIDLastSave="0" documentId="13_ncr:1_{8C957A70-7510-4CD2-BBE6-9B7A3EE023F5}" xr6:coauthVersionLast="47" xr6:coauthVersionMax="47" xr10:uidLastSave="{00000000-0000-0000-0000-000000000000}"/>
  <bookViews>
    <workbookView xWindow="-120" yWindow="-120" windowWidth="24240" windowHeight="13020" tabRatio="627" activeTab="2" xr2:uid="{00000000-000D-0000-FFFF-FFFF00000000}"/>
  </bookViews>
  <sheets>
    <sheet name="FrontPage" sheetId="1" r:id="rId1"/>
    <sheet name="Customers&amp;Prices" sheetId="7" r:id="rId2"/>
    <sheet name="Graphics" sheetId="6" r:id="rId3"/>
    <sheet name="Transactions" sheetId="4" r:id="rId4"/>
    <sheet name="Invoice(old)" sheetId="2" r:id="rId5"/>
    <sheet name="Invoice" sheetId="8" r:id="rId6"/>
  </sheets>
  <functionGroups builtInGroupCount="19"/>
  <definedNames>
    <definedName name="_xlnm.Print_Area" localSheetId="5">Invoice!$A$1:$J$43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8" l="1"/>
  <c r="J35" i="8" s="1"/>
  <c r="J14" i="8"/>
  <c r="J36" i="8" s="1"/>
  <c r="J15" i="8"/>
  <c r="J37" i="8" s="1"/>
  <c r="J16" i="8"/>
  <c r="J38" i="8" s="1"/>
  <c r="J12" i="8"/>
  <c r="C9" i="8"/>
  <c r="C31" i="8" s="1"/>
  <c r="C8" i="8"/>
  <c r="C30" i="8" s="1"/>
  <c r="C7" i="8"/>
  <c r="C29" i="8" s="1"/>
  <c r="C6" i="8"/>
  <c r="C28" i="8" s="1"/>
  <c r="C5" i="8"/>
  <c r="C27" i="8" s="1"/>
  <c r="C4" i="8"/>
  <c r="C26" i="8" s="1"/>
  <c r="E1" i="8"/>
  <c r="E23" i="8" s="1"/>
  <c r="B23" i="8"/>
  <c r="A34" i="8"/>
  <c r="B34" i="8"/>
  <c r="I34" i="8"/>
  <c r="A35" i="8"/>
  <c r="B35" i="8"/>
  <c r="I35" i="8"/>
  <c r="A36" i="8"/>
  <c r="B36" i="8"/>
  <c r="I36" i="8"/>
  <c r="A37" i="8"/>
  <c r="B37" i="8"/>
  <c r="I37" i="8"/>
  <c r="A38" i="8"/>
  <c r="B38" i="8"/>
  <c r="I38" i="8"/>
  <c r="J23" i="2"/>
  <c r="J21" i="2"/>
  <c r="J20" i="2"/>
  <c r="J16" i="2"/>
  <c r="J41" i="2" s="1"/>
  <c r="J17" i="2"/>
  <c r="J42" i="2" s="1"/>
  <c r="J18" i="2"/>
  <c r="J43" i="2" s="1"/>
  <c r="A38" i="2"/>
  <c r="A41" i="2"/>
  <c r="J14" i="2"/>
  <c r="J39" i="2" s="1"/>
  <c r="J15" i="2"/>
  <c r="J40" i="2" s="1"/>
  <c r="J38" i="2"/>
  <c r="H30" i="2"/>
  <c r="H31" i="2"/>
  <c r="H32" i="2"/>
  <c r="H33" i="2"/>
  <c r="H29" i="2"/>
  <c r="H28" i="2"/>
  <c r="C6" i="2"/>
  <c r="C31" i="2" s="1"/>
  <c r="C7" i="2"/>
  <c r="C8" i="2"/>
  <c r="C9" i="2"/>
  <c r="C5" i="2"/>
  <c r="C30" i="2" s="1"/>
  <c r="C4" i="2"/>
  <c r="C29" i="2" s="1"/>
  <c r="H1" i="2"/>
  <c r="H26" i="2" s="1"/>
  <c r="J44" i="2"/>
  <c r="I44" i="2"/>
  <c r="B44" i="2"/>
  <c r="A44" i="2"/>
  <c r="I43" i="2"/>
  <c r="B43" i="2"/>
  <c r="A43" i="2"/>
  <c r="I42" i="2"/>
  <c r="B42" i="2"/>
  <c r="A42" i="2"/>
  <c r="I41" i="2"/>
  <c r="B41" i="2"/>
  <c r="I40" i="2"/>
  <c r="B40" i="2"/>
  <c r="A40" i="2"/>
  <c r="I39" i="2"/>
  <c r="B39" i="2"/>
  <c r="A39" i="2"/>
  <c r="I38" i="2"/>
  <c r="B38" i="2"/>
  <c r="B26" i="2"/>
  <c r="P4" i="7"/>
  <c r="Q4" i="7"/>
  <c r="R4" i="7"/>
  <c r="U4" i="7"/>
  <c r="V4" i="7"/>
  <c r="Y4" i="7"/>
  <c r="Z4" i="7"/>
  <c r="AC4" i="7"/>
  <c r="AD4" i="7"/>
  <c r="AG4" i="7"/>
  <c r="AH4" i="7"/>
  <c r="AK4" i="7"/>
  <c r="AL4" i="7"/>
  <c r="AO4" i="7"/>
  <c r="AP4" i="7"/>
  <c r="AS4" i="7"/>
  <c r="AT4" i="7"/>
  <c r="U5" i="7"/>
  <c r="V5" i="7"/>
  <c r="Y5" i="7"/>
  <c r="Z5" i="7"/>
  <c r="AC5" i="7"/>
  <c r="AD5" i="7"/>
  <c r="AG5" i="7"/>
  <c r="AH5" i="7"/>
  <c r="AK5" i="7"/>
  <c r="AL5" i="7"/>
  <c r="AO5" i="7"/>
  <c r="AP5" i="7"/>
  <c r="AS5" i="7"/>
  <c r="AT5" i="7"/>
  <c r="P6" i="7"/>
  <c r="Q6" i="7"/>
  <c r="R6" i="7"/>
  <c r="U6" i="7"/>
  <c r="V6" i="7"/>
  <c r="Y6" i="7"/>
  <c r="Z6" i="7"/>
  <c r="AC6" i="7"/>
  <c r="AD6" i="7"/>
  <c r="AG6" i="7"/>
  <c r="AH6" i="7"/>
  <c r="AK6" i="7"/>
  <c r="AL6" i="7"/>
  <c r="AO6" i="7"/>
  <c r="AP6" i="7"/>
  <c r="AS6" i="7"/>
  <c r="AT6" i="7"/>
  <c r="J17" i="8" l="1"/>
  <c r="J34" i="8"/>
  <c r="C32" i="2"/>
  <c r="C33" i="2"/>
  <c r="C34" i="2"/>
  <c r="J39" i="8" l="1"/>
  <c r="J18" i="8"/>
  <c r="J45" i="2"/>
  <c r="J40" i="8" l="1"/>
  <c r="J20" i="8"/>
  <c r="J42" i="8" s="1"/>
  <c r="J48" i="2"/>
  <c r="J46" i="2"/>
</calcChain>
</file>

<file path=xl/sharedStrings.xml><?xml version="1.0" encoding="utf-8"?>
<sst xmlns="http://schemas.openxmlformats.org/spreadsheetml/2006/main" count="301" uniqueCount="90">
  <si>
    <t>Company Name</t>
  </si>
  <si>
    <t>Cash Sale</t>
  </si>
  <si>
    <t>Name</t>
  </si>
  <si>
    <t>Walk-In</t>
  </si>
  <si>
    <t>Billing Address</t>
  </si>
  <si>
    <t>City</t>
  </si>
  <si>
    <t>Province</t>
  </si>
  <si>
    <t>Postal</t>
  </si>
  <si>
    <t>Client</t>
  </si>
  <si>
    <t>Services</t>
  </si>
  <si>
    <t>Icon</t>
  </si>
  <si>
    <t>QR Code</t>
  </si>
  <si>
    <t>Price</t>
  </si>
  <si>
    <t>Pricing</t>
  </si>
  <si>
    <r>
      <t xml:space="preserve">Services-Water (Routine = </t>
    </r>
    <r>
      <rPr>
        <b/>
        <sz val="11"/>
        <color theme="1"/>
        <rFont val="Calibri"/>
        <family val="2"/>
        <scheme val="minor"/>
      </rPr>
      <t>bold)</t>
    </r>
  </si>
  <si>
    <r>
      <t xml:space="preserve">Services-Soil (Routine = </t>
    </r>
    <r>
      <rPr>
        <b/>
        <sz val="11"/>
        <color theme="1"/>
        <rFont val="Calibri"/>
        <family val="2"/>
        <scheme val="minor"/>
      </rPr>
      <t>bold)</t>
    </r>
  </si>
  <si>
    <t>Potable</t>
  </si>
  <si>
    <t>Total/E.Coli</t>
  </si>
  <si>
    <t>Potable Package</t>
  </si>
  <si>
    <t>Total Metals</t>
  </si>
  <si>
    <t>Dissolve Metals</t>
  </si>
  <si>
    <t>IRB</t>
  </si>
  <si>
    <t>SRB</t>
  </si>
  <si>
    <t>NRC - Nitrate &amp; E.Coli</t>
  </si>
  <si>
    <t>Septic Soils  (Particle Size; Basic)*</t>
  </si>
  <si>
    <r>
      <t xml:space="preserve">Particle Size - Detailed </t>
    </r>
    <r>
      <rPr>
        <sz val="8"/>
        <color theme="1"/>
        <rFont val="Calibri"/>
        <family val="2"/>
        <scheme val="minor"/>
      </rPr>
      <t>*surcharge; if applicable</t>
    </r>
  </si>
  <si>
    <t>Misc.</t>
  </si>
  <si>
    <t>Class 2 - Soils</t>
  </si>
  <si>
    <t>Class 2 - Sludge (Hydrovac)</t>
  </si>
  <si>
    <t>Timing</t>
  </si>
  <si>
    <t>N</t>
  </si>
  <si>
    <t>R</t>
  </si>
  <si>
    <t>E</t>
  </si>
  <si>
    <t>SRB - Normal Timing</t>
  </si>
  <si>
    <t>SRB - Rush Timing</t>
  </si>
  <si>
    <t>SRB - Emerg Timing</t>
  </si>
  <si>
    <t>Bar N Ranch</t>
  </si>
  <si>
    <t>Barry Bar</t>
  </si>
  <si>
    <t>Box 32</t>
  </si>
  <si>
    <t>Black Diamond</t>
  </si>
  <si>
    <t>AB</t>
  </si>
  <si>
    <t>T0B 1Z3</t>
  </si>
  <si>
    <t>Casa Gee</t>
  </si>
  <si>
    <t>Mitch G</t>
  </si>
  <si>
    <t>37279 RRd 283</t>
  </si>
  <si>
    <t>Red Deer County</t>
  </si>
  <si>
    <t>T4E 1Y9</t>
  </si>
  <si>
    <t>Dissolved Metals</t>
  </si>
  <si>
    <t>Soils</t>
  </si>
  <si>
    <r>
      <t>N0</t>
    </r>
    <r>
      <rPr>
        <vertAlign val="subscript"/>
        <sz val="16"/>
        <color theme="9"/>
        <rFont val="Calibri"/>
        <family val="2"/>
        <scheme val="minor"/>
      </rPr>
      <t>3</t>
    </r>
  </si>
  <si>
    <r>
      <t>N0</t>
    </r>
    <r>
      <rPr>
        <vertAlign val="subscript"/>
        <sz val="16"/>
        <color theme="5"/>
        <rFont val="Calibri"/>
        <family val="2"/>
        <scheme val="minor"/>
      </rPr>
      <t>3</t>
    </r>
  </si>
  <si>
    <r>
      <t>N0</t>
    </r>
    <r>
      <rPr>
        <vertAlign val="subscript"/>
        <sz val="16"/>
        <color rgb="FFFF0000"/>
        <rFont val="Calibri"/>
        <family val="2"/>
        <scheme val="minor"/>
      </rPr>
      <t>3</t>
    </r>
  </si>
  <si>
    <t>QR / Bar Code</t>
  </si>
  <si>
    <t>Date</t>
  </si>
  <si>
    <t>Subtotal</t>
  </si>
  <si>
    <t>GST</t>
  </si>
  <si>
    <t>Paid Deb/CrdCrd</t>
  </si>
  <si>
    <t>Invoice</t>
  </si>
  <si>
    <t>Customer</t>
  </si>
  <si>
    <t>Provider</t>
  </si>
  <si>
    <t>Central Labs Ltd.</t>
  </si>
  <si>
    <t>B5, 53-Burnt Park Drive</t>
  </si>
  <si>
    <t>Red Deer, AB; T4P 0J7</t>
  </si>
  <si>
    <t>Ph: (403) 348-8378</t>
  </si>
  <si>
    <t>GST: 81583 0427 RT0001</t>
  </si>
  <si>
    <t>Email: reporting@c-labs.ca</t>
  </si>
  <si>
    <t>Quantity</t>
  </si>
  <si>
    <t>Service</t>
  </si>
  <si>
    <t>Total</t>
  </si>
  <si>
    <t>Paid                         Cash</t>
  </si>
  <si>
    <t>Duplicate</t>
  </si>
  <si>
    <t>PIN:</t>
  </si>
  <si>
    <t>Product:</t>
  </si>
  <si>
    <t>Company:</t>
  </si>
  <si>
    <t>(R)</t>
  </si>
  <si>
    <t>(E)</t>
  </si>
  <si>
    <t>Paid              Visa/Debit</t>
  </si>
  <si>
    <t>Invoice#</t>
  </si>
  <si>
    <t>Sub Total</t>
  </si>
  <si>
    <t>Cash Paid</t>
  </si>
  <si>
    <t>PAID</t>
  </si>
  <si>
    <t>password</t>
  </si>
  <si>
    <t>Test Client</t>
  </si>
  <si>
    <t>ABC</t>
  </si>
  <si>
    <t>GST (81583 0427 RT0001)</t>
  </si>
  <si>
    <t>Paid                       Visa/Debit</t>
  </si>
  <si>
    <t>or</t>
  </si>
  <si>
    <t>Paid</t>
  </si>
  <si>
    <t>Customer Copy</t>
  </si>
  <si>
    <t>Office 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</si>
</sst>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164" formatCode="&quot;$&quot;#,##0.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vertAlign val="subscript"/>
      <sz val="16"/>
      <color theme="9"/>
      <name val="Calibri"/>
      <family val="2"/>
      <scheme val="minor"/>
    </font>
    <font>
      <sz val="16"/>
      <color rgb="FFFF0000"/>
      <name val="Calibri"/>
      <family val="2"/>
      <scheme val="minor"/>
    </font>
    <font>
      <vertAlign val="subscript"/>
      <sz val="16"/>
      <color rgb="FFFF0000"/>
      <name val="Calibri"/>
      <family val="2"/>
      <scheme val="minor"/>
    </font>
    <font>
      <sz val="16"/>
      <color theme="5"/>
      <name val="Calibri"/>
      <family val="2"/>
      <scheme val="minor"/>
    </font>
    <font>
      <vertAlign val="subscript"/>
      <sz val="16"/>
      <color theme="5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4"/>
      <color rgb="FFFFFF00"/>
      <name val="Algerian"/>
      <family val="5"/>
    </font>
    <font>
      <sz val="16"/>
      <color theme="1"/>
      <name val="Bernard MT Condensed"/>
      <family val="1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2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6"/>
      <color rgb="FFFFFF00"/>
      <name val="Bernard MT Condensed"/>
      <family val="1"/>
    </font>
    <font>
      <b/>
      <sz val="11"/>
      <color theme="5" tint="-0.499984740745262"/>
      <name val="Calibri"/>
      <family val="2"/>
      <scheme val="minor"/>
    </font>
    <font>
      <b/>
      <sz val="12"/>
      <color theme="7" tint="0.39997558519241921"/>
      <name val="Arial Black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1EF9B"/>
        <bgColor indexed="64"/>
      </patternFill>
    </fill>
    <fill>
      <patternFill patternType="solid">
        <fgColor rgb="FFBD9DE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theme="2"/>
      </left>
      <right style="medium">
        <color theme="0" tint="-0.24994659260841701"/>
      </right>
      <top style="mediumDashDot">
        <color theme="2"/>
      </top>
      <bottom style="medium">
        <color theme="0" tint="-0.24994659260841701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15" fillId="7" borderId="0" xfId="0" applyFont="1" applyFill="1"/>
    <xf numFmtId="0" fontId="14" fillId="7" borderId="0" xfId="0" applyFont="1" applyFill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0" fontId="0" fillId="0" borderId="2" xfId="0" applyBorder="1"/>
    <xf numFmtId="0" fontId="4" fillId="0" borderId="0" xfId="0" applyFont="1" applyAlignment="1">
      <alignment wrapText="1"/>
    </xf>
    <xf numFmtId="0" fontId="6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3" borderId="0" xfId="0" applyFont="1" applyFill="1" applyAlignment="1">
      <alignment wrapText="1"/>
    </xf>
    <xf numFmtId="0" fontId="2" fillId="3" borderId="0" xfId="0" applyFont="1" applyFill="1"/>
    <xf numFmtId="0" fontId="2" fillId="2" borderId="0" xfId="0" applyFont="1" applyFill="1"/>
    <xf numFmtId="0" fontId="7" fillId="2" borderId="0" xfId="0" applyFont="1" applyFill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/>
    <xf numFmtId="4" fontId="4" fillId="0" borderId="0" xfId="0" applyNumberFormat="1" applyFont="1"/>
    <xf numFmtId="4" fontId="1" fillId="0" borderId="0" xfId="0" applyNumberFormat="1" applyFont="1"/>
    <xf numFmtId="4" fontId="2" fillId="2" borderId="0" xfId="0" applyNumberFormat="1" applyFont="1" applyFill="1"/>
    <xf numFmtId="4" fontId="5" fillId="0" borderId="0" xfId="0" applyNumberFormat="1" applyFont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0" fontId="14" fillId="7" borderId="1" xfId="0" applyFont="1" applyFill="1" applyBorder="1" applyAlignment="1">
      <alignment horizontal="right"/>
    </xf>
    <xf numFmtId="0" fontId="0" fillId="9" borderId="0" xfId="0" applyFill="1"/>
    <xf numFmtId="0" fontId="0" fillId="9" borderId="3" xfId="0" applyFill="1" applyBorder="1"/>
    <xf numFmtId="0" fontId="16" fillId="9" borderId="0" xfId="0" applyFont="1" applyFill="1" applyAlignment="1">
      <alignment horizontal="right"/>
    </xf>
    <xf numFmtId="0" fontId="17" fillId="9" borderId="4" xfId="0" applyFont="1" applyFill="1" applyBorder="1"/>
    <xf numFmtId="0" fontId="17" fillId="9" borderId="5" xfId="0" applyFont="1" applyFill="1" applyBorder="1"/>
    <xf numFmtId="0" fontId="17" fillId="9" borderId="0" xfId="0" applyFont="1" applyFill="1"/>
    <xf numFmtId="0" fontId="17" fillId="9" borderId="3" xfId="0" applyFont="1" applyFill="1" applyBorder="1"/>
    <xf numFmtId="0" fontId="0" fillId="0" borderId="0" xfId="0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64" fontId="18" fillId="0" borderId="6" xfId="0" applyNumberFormat="1" applyFont="1" applyBorder="1"/>
    <xf numFmtId="164" fontId="0" fillId="0" borderId="0" xfId="0" applyNumberFormat="1"/>
    <xf numFmtId="0" fontId="0" fillId="0" borderId="7" xfId="0" applyBorder="1"/>
    <xf numFmtId="0" fontId="20" fillId="10" borderId="0" xfId="0" applyFont="1" applyFill="1"/>
    <xf numFmtId="0" fontId="0" fillId="10" borderId="0" xfId="0" applyFill="1"/>
    <xf numFmtId="0" fontId="21" fillId="8" borderId="0" xfId="0" applyFont="1" applyFill="1" applyAlignment="1">
      <alignment horizontal="right"/>
    </xf>
    <xf numFmtId="0" fontId="22" fillId="7" borderId="0" xfId="0" applyFont="1" applyFill="1" applyAlignment="1">
      <alignment horizontal="center"/>
    </xf>
    <xf numFmtId="0" fontId="0" fillId="11" borderId="0" xfId="0" applyFill="1"/>
    <xf numFmtId="0" fontId="24" fillId="7" borderId="0" xfId="0" applyFont="1" applyFill="1"/>
    <xf numFmtId="0" fontId="26" fillId="0" borderId="0" xfId="0" applyFont="1"/>
    <xf numFmtId="0" fontId="28" fillId="6" borderId="0" xfId="0" applyFont="1" applyFill="1" applyAlignment="1">
      <alignment horizontal="right" vertical="center"/>
    </xf>
    <xf numFmtId="0" fontId="27" fillId="10" borderId="0" xfId="0" applyFont="1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7" fontId="0" fillId="0" borderId="0" xfId="0" applyNumberFormat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2" fillId="5" borderId="0" xfId="0" applyFont="1" applyFill="1"/>
    <xf numFmtId="164" fontId="1" fillId="0" borderId="15" xfId="0" applyNumberFormat="1" applyFont="1" applyBorder="1"/>
    <xf numFmtId="0" fontId="0" fillId="0" borderId="16" xfId="0" applyBorder="1" applyAlignment="1">
      <alignment horizontal="right"/>
    </xf>
    <xf numFmtId="164" fontId="0" fillId="0" borderId="6" xfId="0" applyNumberFormat="1" applyBorder="1"/>
    <xf numFmtId="0" fontId="20" fillId="0" borderId="0" xfId="0" applyFont="1"/>
    <xf numFmtId="0" fontId="33" fillId="16" borderId="0" xfId="0" applyFont="1" applyFill="1"/>
    <xf numFmtId="7" fontId="23" fillId="15" borderId="1" xfId="0" applyNumberFormat="1" applyFont="1" applyFill="1" applyBorder="1"/>
    <xf numFmtId="0" fontId="29" fillId="15" borderId="1" xfId="0" applyFont="1" applyFill="1" applyBorder="1" applyAlignment="1">
      <alignment horizontal="center"/>
    </xf>
    <xf numFmtId="0" fontId="23" fillId="15" borderId="1" xfId="0" applyFont="1" applyFill="1" applyBorder="1" applyAlignment="1">
      <alignment horizontal="center"/>
    </xf>
    <xf numFmtId="0" fontId="0" fillId="15" borderId="1" xfId="0" applyFill="1" applyBorder="1"/>
    <xf numFmtId="0" fontId="0" fillId="15" borderId="1" xfId="0" applyFill="1" applyBorder="1" applyAlignment="1">
      <alignment horizontal="left"/>
    </xf>
    <xf numFmtId="0" fontId="23" fillId="15" borderId="1" xfId="0" applyFont="1" applyFill="1" applyBorder="1"/>
    <xf numFmtId="0" fontId="0" fillId="4" borderId="0" xfId="0" applyFill="1"/>
    <xf numFmtId="6" fontId="35" fillId="15" borderId="1" xfId="0" applyNumberFormat="1" applyFont="1" applyFill="1" applyBorder="1" applyAlignment="1">
      <alignment horizontal="center" vertical="center"/>
    </xf>
    <xf numFmtId="0" fontId="0" fillId="17" borderId="0" xfId="0" applyFill="1"/>
    <xf numFmtId="0" fontId="21" fillId="4" borderId="1" xfId="0" applyFont="1" applyFill="1" applyBorder="1" applyAlignment="1">
      <alignment horizontal="center"/>
    </xf>
    <xf numFmtId="0" fontId="36" fillId="7" borderId="0" xfId="0" applyFont="1" applyFill="1" applyAlignment="1">
      <alignment horizontal="right" vertical="center"/>
    </xf>
    <xf numFmtId="0" fontId="0" fillId="6" borderId="0" xfId="0" applyFill="1" applyAlignment="1">
      <alignment horizontal="center"/>
    </xf>
    <xf numFmtId="0" fontId="34" fillId="8" borderId="0" xfId="0" applyFont="1" applyFill="1" applyAlignment="1">
      <alignment horizontal="center" wrapText="1"/>
    </xf>
    <xf numFmtId="0" fontId="25" fillId="8" borderId="0" xfId="0" applyFont="1" applyFill="1" applyAlignment="1">
      <alignment horizontal="center"/>
    </xf>
    <xf numFmtId="0" fontId="3" fillId="8" borderId="0" xfId="0" applyFont="1" applyFill="1" applyAlignment="1">
      <alignment horizontal="center" wrapText="1"/>
    </xf>
    <xf numFmtId="7" fontId="4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0" fillId="0" borderId="0" xfId="0" applyAlignment="1">
      <alignment horizontal="left"/>
    </xf>
    <xf numFmtId="0" fontId="26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center" vertical="center" wrapText="1"/>
    </xf>
    <xf numFmtId="0" fontId="18" fillId="0" borderId="0" xfId="0" applyFont="1" applyAlignment="1">
      <alignment horizontal="right" wrapText="1"/>
    </xf>
    <xf numFmtId="0" fontId="19" fillId="3" borderId="6" xfId="0" applyFont="1" applyFill="1" applyBorder="1" applyAlignment="1">
      <alignment horizontal="center"/>
    </xf>
    <xf numFmtId="14" fontId="0" fillId="0" borderId="6" xfId="0" applyNumberFormat="1" applyBorder="1" applyAlignment="1">
      <alignment horizontal="left"/>
    </xf>
    <xf numFmtId="0" fontId="15" fillId="13" borderId="0" xfId="0" applyFont="1" applyFill="1" applyAlignment="1">
      <alignment horizontal="center" vertical="center" wrapText="1"/>
    </xf>
    <xf numFmtId="0" fontId="30" fillId="12" borderId="0" xfId="0" applyFont="1" applyFill="1" applyAlignment="1">
      <alignment horizontal="center" vertical="center" wrapText="1"/>
    </xf>
    <xf numFmtId="0" fontId="31" fillId="12" borderId="0" xfId="0" applyFont="1" applyFill="1" applyAlignment="1">
      <alignment horizontal="center" vertical="center" wrapText="1"/>
    </xf>
    <xf numFmtId="0" fontId="32" fillId="0" borderId="10" xfId="0" applyFont="1" applyBorder="1" applyAlignment="1">
      <alignment horizontal="center" vertical="center"/>
    </xf>
    <xf numFmtId="0" fontId="0" fillId="15" borderId="14" xfId="0" applyFill="1" applyBorder="1" applyAlignment="1">
      <alignment horizontal="center" vertical="center"/>
    </xf>
    <xf numFmtId="0" fontId="0" fillId="15" borderId="13" xfId="0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0" borderId="12" xfId="0" applyBorder="1" applyAlignment="1">
      <alignment horizontal="right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3" borderId="0" xfId="0" applyFont="1" applyFill="1" applyAlignment="1">
      <alignment horizontal="center"/>
    </xf>
    <xf numFmtId="0" fontId="0" fillId="14" borderId="14" xfId="0" applyFill="1" applyBorder="1" applyAlignment="1">
      <alignment horizontal="center" vertical="center" wrapText="1"/>
    </xf>
    <xf numFmtId="0" fontId="0" fillId="14" borderId="13" xfId="0" applyFill="1" applyBorder="1" applyAlignment="1">
      <alignment horizontal="center" vertical="center" wrapText="1"/>
    </xf>
    <xf numFmtId="0" fontId="0" fillId="14" borderId="12" xfId="0" applyFill="1" applyBorder="1" applyAlignment="1">
      <alignment horizontal="center" vertical="center" wrapText="1"/>
    </xf>
    <xf numFmtId="0" fontId="0" fillId="14" borderId="11" xfId="0" applyFill="1" applyBorder="1" applyAlignment="1">
      <alignment horizontal="center" vertical="center" wrapText="1"/>
    </xf>
    <xf numFmtId="0" fontId="0" fillId="14" borderId="9" xfId="0" applyFill="1" applyBorder="1" applyAlignment="1">
      <alignment horizontal="center" vertical="center" wrapText="1"/>
    </xf>
    <xf numFmtId="0" fontId="0" fillId="14" borderId="8" xfId="0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9DE7"/>
      <color rgb="FFB1EF9B"/>
      <color rgb="FFCE8A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Z1" noThreeD="1" sel="1" val="0">
  <itemLst>
    <item val="Potable"/>
    <item val="Total/E.Coli"/>
    <item val="Potable Package"/>
    <item val="Total Metals"/>
    <item val="Dissolve Metals"/>
    <item val="IRB"/>
    <item val="SRB"/>
    <item val="NRC - Nitrate &amp; E.Coli"/>
    <item val="Septic Soils  (Particle Size; Basic)*"/>
    <item val="Particle Size - Detailed *surcharge; if applicable"/>
    <item val="Misc."/>
  </itemLst>
</formControlPr>
</file>

<file path=xl/ctrlProps/ctrlProp2.xml><?xml version="1.0" encoding="utf-8"?>
<formControlPr xmlns="http://schemas.microsoft.com/office/spreadsheetml/2009/9/main" objectType="Drop" dropStyle="combo" dx="22" fmlaLink="Z2" noThreeD="1" sel="2" val="0">
  <itemLst>
    <item val="Cash Sale"/>
    <item val="Bar N Ranch"/>
    <item val="Casa Gee"/>
    <item val="Test Client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18" Type="http://schemas.openxmlformats.org/officeDocument/2006/relationships/image" Target="../media/image2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image" Target="../media/image20.png"/><Relationship Id="rId2" Type="http://schemas.openxmlformats.org/officeDocument/2006/relationships/image" Target="../media/image5.png"/><Relationship Id="rId16" Type="http://schemas.openxmlformats.org/officeDocument/2006/relationships/image" Target="../media/image19.svg"/><Relationship Id="rId1" Type="http://schemas.openxmlformats.org/officeDocument/2006/relationships/image" Target="../media/image4.jpeg"/><Relationship Id="rId6" Type="http://schemas.openxmlformats.org/officeDocument/2006/relationships/image" Target="../media/image9.png"/><Relationship Id="rId11" Type="http://schemas.openxmlformats.org/officeDocument/2006/relationships/image" Target="../media/image14.svg"/><Relationship Id="rId5" Type="http://schemas.openxmlformats.org/officeDocument/2006/relationships/image" Target="../media/image8.png"/><Relationship Id="rId15" Type="http://schemas.openxmlformats.org/officeDocument/2006/relationships/image" Target="../media/image1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13" Type="http://schemas.openxmlformats.org/officeDocument/2006/relationships/image" Target="../media/image26.png"/><Relationship Id="rId18" Type="http://schemas.openxmlformats.org/officeDocument/2006/relationships/image" Target="../media/image31.svg"/><Relationship Id="rId26" Type="http://schemas.openxmlformats.org/officeDocument/2006/relationships/image" Target="../media/image39.png"/><Relationship Id="rId39" Type="http://schemas.openxmlformats.org/officeDocument/2006/relationships/image" Target="../media/image52.svg"/><Relationship Id="rId3" Type="http://schemas.openxmlformats.org/officeDocument/2006/relationships/image" Target="../media/image16.png"/><Relationship Id="rId21" Type="http://schemas.openxmlformats.org/officeDocument/2006/relationships/image" Target="../media/image34.png"/><Relationship Id="rId34" Type="http://schemas.openxmlformats.org/officeDocument/2006/relationships/image" Target="../media/image47.png"/><Relationship Id="rId42" Type="http://schemas.openxmlformats.org/officeDocument/2006/relationships/image" Target="../media/image1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30.png"/><Relationship Id="rId25" Type="http://schemas.openxmlformats.org/officeDocument/2006/relationships/image" Target="../media/image38.svg"/><Relationship Id="rId33" Type="http://schemas.openxmlformats.org/officeDocument/2006/relationships/image" Target="../media/image46.svg"/><Relationship Id="rId38" Type="http://schemas.openxmlformats.org/officeDocument/2006/relationships/image" Target="../media/image51.png"/><Relationship Id="rId2" Type="http://schemas.openxmlformats.org/officeDocument/2006/relationships/image" Target="../media/image14.svg"/><Relationship Id="rId16" Type="http://schemas.openxmlformats.org/officeDocument/2006/relationships/image" Target="../media/image29.svg"/><Relationship Id="rId20" Type="http://schemas.openxmlformats.org/officeDocument/2006/relationships/image" Target="../media/image33.svg"/><Relationship Id="rId29" Type="http://schemas.openxmlformats.org/officeDocument/2006/relationships/image" Target="../media/image42.svg"/><Relationship Id="rId41" Type="http://schemas.openxmlformats.org/officeDocument/2006/relationships/image" Target="../media/image54.svg"/><Relationship Id="rId1" Type="http://schemas.openxmlformats.org/officeDocument/2006/relationships/image" Target="../media/image13.png"/><Relationship Id="rId6" Type="http://schemas.openxmlformats.org/officeDocument/2006/relationships/image" Target="../media/image19.svg"/><Relationship Id="rId11" Type="http://schemas.openxmlformats.org/officeDocument/2006/relationships/image" Target="../media/image24.png"/><Relationship Id="rId24" Type="http://schemas.openxmlformats.org/officeDocument/2006/relationships/image" Target="../media/image37.png"/><Relationship Id="rId32" Type="http://schemas.openxmlformats.org/officeDocument/2006/relationships/image" Target="../media/image45.png"/><Relationship Id="rId37" Type="http://schemas.openxmlformats.org/officeDocument/2006/relationships/image" Target="../media/image50.svg"/><Relationship Id="rId40" Type="http://schemas.openxmlformats.org/officeDocument/2006/relationships/image" Target="../media/image53.png"/><Relationship Id="rId5" Type="http://schemas.openxmlformats.org/officeDocument/2006/relationships/image" Target="../media/image18.png"/><Relationship Id="rId15" Type="http://schemas.openxmlformats.org/officeDocument/2006/relationships/image" Target="../media/image28.png"/><Relationship Id="rId23" Type="http://schemas.openxmlformats.org/officeDocument/2006/relationships/image" Target="../media/image36.svg"/><Relationship Id="rId28" Type="http://schemas.openxmlformats.org/officeDocument/2006/relationships/image" Target="../media/image41.png"/><Relationship Id="rId36" Type="http://schemas.openxmlformats.org/officeDocument/2006/relationships/image" Target="../media/image49.png"/><Relationship Id="rId10" Type="http://schemas.openxmlformats.org/officeDocument/2006/relationships/image" Target="../media/image23.svg"/><Relationship Id="rId19" Type="http://schemas.openxmlformats.org/officeDocument/2006/relationships/image" Target="../media/image32.png"/><Relationship Id="rId31" Type="http://schemas.openxmlformats.org/officeDocument/2006/relationships/image" Target="../media/image44.svg"/><Relationship Id="rId4" Type="http://schemas.openxmlformats.org/officeDocument/2006/relationships/image" Target="../media/image17.svg"/><Relationship Id="rId9" Type="http://schemas.openxmlformats.org/officeDocument/2006/relationships/image" Target="../media/image22.png"/><Relationship Id="rId14" Type="http://schemas.openxmlformats.org/officeDocument/2006/relationships/image" Target="../media/image27.svg"/><Relationship Id="rId22" Type="http://schemas.openxmlformats.org/officeDocument/2006/relationships/image" Target="../media/image35.svg"/><Relationship Id="rId27" Type="http://schemas.openxmlformats.org/officeDocument/2006/relationships/image" Target="../media/image40.svg"/><Relationship Id="rId30" Type="http://schemas.openxmlformats.org/officeDocument/2006/relationships/image" Target="../media/image43.png"/><Relationship Id="rId35" Type="http://schemas.openxmlformats.org/officeDocument/2006/relationships/image" Target="../media/image48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47626</xdr:rowOff>
    </xdr:from>
    <xdr:to>
      <xdr:col>1</xdr:col>
      <xdr:colOff>47625</xdr:colOff>
      <xdr:row>1</xdr:row>
      <xdr:rowOff>180976</xdr:rowOff>
    </xdr:to>
    <xdr:pic macro="[0]!check_password">
      <xdr:nvPicPr>
        <xdr:cNvPr id="3" name="Picture 2">
          <a:extLst>
            <a:ext uri="{FF2B5EF4-FFF2-40B4-BE49-F238E27FC236}">
              <a16:creationId xmlns:a16="http://schemas.microsoft.com/office/drawing/2014/main" id="{8FB0DA20-C823-4B10-8D86-6C3DCC8DF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626"/>
          <a:ext cx="657225" cy="45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28575</xdr:rowOff>
        </xdr:from>
        <xdr:to>
          <xdr:col>5</xdr:col>
          <xdr:colOff>47625</xdr:colOff>
          <xdr:row>13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19050</xdr:rowOff>
        </xdr:from>
        <xdr:to>
          <xdr:col>5</xdr:col>
          <xdr:colOff>0</xdr:colOff>
          <xdr:row>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104430</xdr:colOff>
      <xdr:row>12</xdr:row>
      <xdr:rowOff>8029</xdr:rowOff>
    </xdr:from>
    <xdr:to>
      <xdr:col>5</xdr:col>
      <xdr:colOff>219075</xdr:colOff>
      <xdr:row>12</xdr:row>
      <xdr:rowOff>400052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4C6A1EC-15D9-AB14-E682-CCBABAC419BA}"/>
            </a:ext>
          </a:extLst>
        </xdr:cNvPr>
        <xdr:cNvGrpSpPr/>
      </xdr:nvGrpSpPr>
      <xdr:grpSpPr>
        <a:xfrm>
          <a:off x="4609755" y="2655979"/>
          <a:ext cx="1552920" cy="392023"/>
          <a:chOff x="7648575" y="2913406"/>
          <a:chExt cx="1829055" cy="658549"/>
        </a:xfrm>
        <a:effectLst>
          <a:glow rad="139700">
            <a:schemeClr val="accent5">
              <a:satMod val="175000"/>
              <a:alpha val="40000"/>
            </a:schemeClr>
          </a:glow>
        </a:effectLst>
      </xdr:grpSpPr>
      <xdr:pic macro="[0]!new_invoice">
        <xdr:nvPicPr>
          <xdr:cNvPr id="4" name="Picture 3" descr="Add">
            <a:extLst>
              <a:ext uri="{FF2B5EF4-FFF2-40B4-BE49-F238E27FC236}">
                <a16:creationId xmlns:a16="http://schemas.microsoft.com/office/drawing/2014/main" id="{434A5D11-8E77-1F42-FC6C-62C875C84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48575" y="3000375"/>
            <a:ext cx="1829055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  <a:scene3d>
            <a:camera prst="orthographicFront"/>
            <a:lightRig rig="threePt" dir="t"/>
          </a:scene3d>
          <a:sp3d>
            <a:bevelT prst="relaxedInset"/>
          </a:sp3d>
        </xdr:spPr>
      </xdr:pic>
      <xdr:sp macro="[0]!new_invoice" textlink="">
        <xdr:nvSpPr>
          <xdr:cNvPr id="5" name="TextBox 4">
            <a:extLst>
              <a:ext uri="{FF2B5EF4-FFF2-40B4-BE49-F238E27FC236}">
                <a16:creationId xmlns:a16="http://schemas.microsoft.com/office/drawing/2014/main" id="{F33FCBE5-7CC4-5BB6-B619-F35C8748F832}"/>
              </a:ext>
            </a:extLst>
          </xdr:cNvPr>
          <xdr:cNvSpPr txBox="1"/>
        </xdr:nvSpPr>
        <xdr:spPr>
          <a:xfrm>
            <a:off x="7728225" y="2913406"/>
            <a:ext cx="1638360" cy="533248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New</a:t>
            </a:r>
            <a:r>
              <a:rPr lang="en-US" sz="2000" b="1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Invoice</a:t>
            </a:r>
            <a:endParaRPr lang="en-US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114299</xdr:colOff>
      <xdr:row>4</xdr:row>
      <xdr:rowOff>228513</xdr:rowOff>
    </xdr:from>
    <xdr:to>
      <xdr:col>3</xdr:col>
      <xdr:colOff>790574</xdr:colOff>
      <xdr:row>9</xdr:row>
      <xdr:rowOff>133350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629344E-EAA3-7BAA-7FBA-30946F664CAC}"/>
            </a:ext>
          </a:extLst>
        </xdr:cNvPr>
        <xdr:cNvGrpSpPr/>
      </xdr:nvGrpSpPr>
      <xdr:grpSpPr>
        <a:xfrm>
          <a:off x="4619624" y="1238163"/>
          <a:ext cx="676275" cy="962112"/>
          <a:chOff x="7772400" y="1638213"/>
          <a:chExt cx="674480" cy="943066"/>
        </a:xfrm>
        <a:effectLst>
          <a:glow rad="101600">
            <a:schemeClr val="accent2">
              <a:satMod val="175000"/>
              <a:alpha val="40000"/>
            </a:schemeClr>
          </a:glow>
        </a:effectLst>
      </xdr:grpSpPr>
      <xdr:pic macro="[0]!add_company">
        <xdr:nvPicPr>
          <xdr:cNvPr id="10" name="Picture 9">
            <a:extLst>
              <a:ext uri="{FF2B5EF4-FFF2-40B4-BE49-F238E27FC236}">
                <a16:creationId xmlns:a16="http://schemas.microsoft.com/office/drawing/2014/main" id="{93ACC3B3-339B-32AA-334E-049A2136F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7634374" y="1823956"/>
            <a:ext cx="943066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</xdr:spPr>
      </xdr:pic>
      <xdr:sp macro="[0]!add_company" textlink="">
        <xdr:nvSpPr>
          <xdr:cNvPr id="11" name="TextBox 10">
            <a:extLst>
              <a:ext uri="{FF2B5EF4-FFF2-40B4-BE49-F238E27FC236}">
                <a16:creationId xmlns:a16="http://schemas.microsoft.com/office/drawing/2014/main" id="{864559C7-7A2D-580D-D08A-1C02D1471943}"/>
              </a:ext>
            </a:extLst>
          </xdr:cNvPr>
          <xdr:cNvSpPr txBox="1"/>
        </xdr:nvSpPr>
        <xdr:spPr>
          <a:xfrm>
            <a:off x="7772400" y="1943100"/>
            <a:ext cx="67448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Add</a:t>
            </a:r>
            <a:r>
              <a:rPr lang="en-US" sz="16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+</a:t>
            </a:r>
          </a:p>
        </xdr:txBody>
      </xdr:sp>
    </xdr:grpSp>
    <xdr:clientData/>
  </xdr:twoCellAnchor>
  <xdr:twoCellAnchor>
    <xdr:from>
      <xdr:col>4</xdr:col>
      <xdr:colOff>57150</xdr:colOff>
      <xdr:row>14</xdr:row>
      <xdr:rowOff>71602</xdr:rowOff>
    </xdr:from>
    <xdr:to>
      <xdr:col>5</xdr:col>
      <xdr:colOff>180975</xdr:colOff>
      <xdr:row>15</xdr:row>
      <xdr:rowOff>180975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B9226A3-26E8-C862-620F-56D041C857ED}"/>
            </a:ext>
          </a:extLst>
        </xdr:cNvPr>
        <xdr:cNvGrpSpPr/>
      </xdr:nvGrpSpPr>
      <xdr:grpSpPr>
        <a:xfrm>
          <a:off x="5391150" y="3414877"/>
          <a:ext cx="733425" cy="309398"/>
          <a:chOff x="7219215" y="5172075"/>
          <a:chExt cx="706344" cy="257175"/>
        </a:xfrm>
      </xdr:grpSpPr>
      <xdr:pic macro="[0]!add_info1">
        <xdr:nvPicPr>
          <xdr:cNvPr id="14" name="Picture 13">
            <a:extLst>
              <a:ext uri="{FF2B5EF4-FFF2-40B4-BE49-F238E27FC236}">
                <a16:creationId xmlns:a16="http://schemas.microsoft.com/office/drawing/2014/main" id="{29044EDC-EF61-C703-C34F-5030922FED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1" textlink="">
        <xdr:nvSpPr>
          <xdr:cNvPr id="15" name="TextBox 14">
            <a:extLst>
              <a:ext uri="{FF2B5EF4-FFF2-40B4-BE49-F238E27FC236}">
                <a16:creationId xmlns:a16="http://schemas.microsoft.com/office/drawing/2014/main" id="{14AD5FB8-8348-EF1F-9C63-0C00D7D1C54C}"/>
              </a:ext>
            </a:extLst>
          </xdr:cNvPr>
          <xdr:cNvSpPr txBox="1"/>
        </xdr:nvSpPr>
        <xdr:spPr>
          <a:xfrm>
            <a:off x="7219215" y="5183321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19</xdr:row>
      <xdr:rowOff>47626</xdr:rowOff>
    </xdr:from>
    <xdr:to>
      <xdr:col>5</xdr:col>
      <xdr:colOff>180975</xdr:colOff>
      <xdr:row>20</xdr:row>
      <xdr:rowOff>133351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A2628754-1ADA-44D1-9247-86D30C7B5621}"/>
            </a:ext>
          </a:extLst>
        </xdr:cNvPr>
        <xdr:cNvGrpSpPr/>
      </xdr:nvGrpSpPr>
      <xdr:grpSpPr>
        <a:xfrm>
          <a:off x="5391150" y="5648326"/>
          <a:ext cx="733425" cy="285750"/>
          <a:chOff x="7219215" y="5172075"/>
          <a:chExt cx="706344" cy="257175"/>
        </a:xfrm>
      </xdr:grpSpPr>
      <xdr:pic macro="[0]!add_info1">
        <xdr:nvPicPr>
          <xdr:cNvPr id="19" name="Picture 18">
            <a:extLst>
              <a:ext uri="{FF2B5EF4-FFF2-40B4-BE49-F238E27FC236}">
                <a16:creationId xmlns:a16="http://schemas.microsoft.com/office/drawing/2014/main" id="{449D7698-F9A0-A12E-93E7-D5B9F0BAC1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2" textlink="">
        <xdr:nvSpPr>
          <xdr:cNvPr id="20" name="TextBox 19">
            <a:extLst>
              <a:ext uri="{FF2B5EF4-FFF2-40B4-BE49-F238E27FC236}">
                <a16:creationId xmlns:a16="http://schemas.microsoft.com/office/drawing/2014/main" id="{EEDAE8A7-E21C-44C1-F13E-3B2374B90EC8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24</xdr:row>
      <xdr:rowOff>95250</xdr:rowOff>
    </xdr:from>
    <xdr:to>
      <xdr:col>5</xdr:col>
      <xdr:colOff>180975</xdr:colOff>
      <xdr:row>25</xdr:row>
      <xdr:rowOff>171450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7CAF6828-CEC7-4512-B51D-A181D2CF57D0}"/>
            </a:ext>
          </a:extLst>
        </xdr:cNvPr>
        <xdr:cNvGrpSpPr/>
      </xdr:nvGrpSpPr>
      <xdr:grpSpPr>
        <a:xfrm>
          <a:off x="5391150" y="8134350"/>
          <a:ext cx="733425" cy="276225"/>
          <a:chOff x="7219215" y="5172075"/>
          <a:chExt cx="706344" cy="257175"/>
        </a:xfrm>
      </xdr:grpSpPr>
      <xdr:pic macro="[0]!add_info1">
        <xdr:nvPicPr>
          <xdr:cNvPr id="22" name="Picture 21">
            <a:extLst>
              <a:ext uri="{FF2B5EF4-FFF2-40B4-BE49-F238E27FC236}">
                <a16:creationId xmlns:a16="http://schemas.microsoft.com/office/drawing/2014/main" id="{E5749B8E-123F-F31C-CB5C-E54129EE8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3" textlink="">
        <xdr:nvSpPr>
          <xdr:cNvPr id="23" name="TextBox 22">
            <a:extLst>
              <a:ext uri="{FF2B5EF4-FFF2-40B4-BE49-F238E27FC236}">
                <a16:creationId xmlns:a16="http://schemas.microsoft.com/office/drawing/2014/main" id="{FA49FEBF-5BD7-2F65-9D1D-9FBDEE6455E6}"/>
              </a:ext>
            </a:extLst>
          </xdr:cNvPr>
          <xdr:cNvSpPr txBox="1"/>
        </xdr:nvSpPr>
        <xdr:spPr>
          <a:xfrm>
            <a:off x="7219215" y="5174449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72500</xdr:colOff>
      <xdr:row>26</xdr:row>
      <xdr:rowOff>255304</xdr:rowOff>
    </xdr:from>
    <xdr:to>
      <xdr:col>5</xdr:col>
      <xdr:colOff>171448</xdr:colOff>
      <xdr:row>26</xdr:row>
      <xdr:rowOff>523876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F024918-1860-4B72-F541-F9FA0A851617}"/>
            </a:ext>
          </a:extLst>
        </xdr:cNvPr>
        <xdr:cNvGrpSpPr/>
      </xdr:nvGrpSpPr>
      <xdr:grpSpPr>
        <a:xfrm>
          <a:off x="5406500" y="9246904"/>
          <a:ext cx="708548" cy="268572"/>
          <a:chOff x="7588593" y="6224654"/>
          <a:chExt cx="813873" cy="370417"/>
        </a:xfrm>
      </xdr:grpSpPr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C6F563EB-0758-7F9A-C935-4610D2AF5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28" name="TextBox 27">
            <a:extLst>
              <a:ext uri="{FF2B5EF4-FFF2-40B4-BE49-F238E27FC236}">
                <a16:creationId xmlns:a16="http://schemas.microsoft.com/office/drawing/2014/main" id="{4BE781D3-AB1E-0888-94A3-D0C83A440D0D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72500</xdr:colOff>
      <xdr:row>21</xdr:row>
      <xdr:rowOff>255304</xdr:rowOff>
    </xdr:from>
    <xdr:to>
      <xdr:col>5</xdr:col>
      <xdr:colOff>171448</xdr:colOff>
      <xdr:row>21</xdr:row>
      <xdr:rowOff>523876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803F2DD8-9264-46E3-A5F9-B409A91A5ECB}"/>
            </a:ext>
          </a:extLst>
        </xdr:cNvPr>
        <xdr:cNvGrpSpPr/>
      </xdr:nvGrpSpPr>
      <xdr:grpSpPr>
        <a:xfrm>
          <a:off x="5406500" y="6951379"/>
          <a:ext cx="708548" cy="268572"/>
          <a:chOff x="7588593" y="6224654"/>
          <a:chExt cx="813873" cy="370417"/>
        </a:xfrm>
      </xdr:grpSpPr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A36C97BD-E2CD-9CDE-8B16-A7DD12EAF7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2" textlink="">
        <xdr:nvSpPr>
          <xdr:cNvPr id="1024" name="TextBox 1023">
            <a:extLst>
              <a:ext uri="{FF2B5EF4-FFF2-40B4-BE49-F238E27FC236}">
                <a16:creationId xmlns:a16="http://schemas.microsoft.com/office/drawing/2014/main" id="{C7CA1921-3265-3BE4-1A1D-DD40849B2652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76200</xdr:colOff>
      <xdr:row>16</xdr:row>
      <xdr:rowOff>276225</xdr:rowOff>
    </xdr:from>
    <xdr:to>
      <xdr:col>5</xdr:col>
      <xdr:colOff>175148</xdr:colOff>
      <xdr:row>16</xdr:row>
      <xdr:rowOff>561975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C9DA8AF5-DB0E-4897-AE1E-1C54D727BBD0}"/>
            </a:ext>
          </a:extLst>
        </xdr:cNvPr>
        <xdr:cNvGrpSpPr/>
      </xdr:nvGrpSpPr>
      <xdr:grpSpPr>
        <a:xfrm>
          <a:off x="5410200" y="4591050"/>
          <a:ext cx="708548" cy="285750"/>
          <a:chOff x="7588593" y="6224654"/>
          <a:chExt cx="813873" cy="370417"/>
        </a:xfrm>
      </xdr:grpSpPr>
      <xdr:pic macro="[0]!btn_package1">
        <xdr:nvPicPr>
          <xdr:cNvPr id="1027" name="Picture 1026">
            <a:extLst>
              <a:ext uri="{FF2B5EF4-FFF2-40B4-BE49-F238E27FC236}">
                <a16:creationId xmlns:a16="http://schemas.microsoft.com/office/drawing/2014/main" id="{24D5A83F-F9F9-F77B-B8B3-77011B2C2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1028" name="TextBox 1027">
            <a:extLst>
              <a:ext uri="{FF2B5EF4-FFF2-40B4-BE49-F238E27FC236}">
                <a16:creationId xmlns:a16="http://schemas.microsoft.com/office/drawing/2014/main" id="{E38FBD47-ED01-AAEE-D05E-32AE087ACC04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47623</xdr:colOff>
      <xdr:row>15</xdr:row>
      <xdr:rowOff>266701</xdr:rowOff>
    </xdr:from>
    <xdr:to>
      <xdr:col>5</xdr:col>
      <xdr:colOff>180972</xdr:colOff>
      <xdr:row>15</xdr:row>
      <xdr:rowOff>581025</xdr:rowOff>
    </xdr:to>
    <xdr:grpSp>
      <xdr:nvGrpSpPr>
        <xdr:cNvPr id="1037" name="Group 1036">
          <a:extLst>
            <a:ext uri="{FF2B5EF4-FFF2-40B4-BE49-F238E27FC236}">
              <a16:creationId xmlns:a16="http://schemas.microsoft.com/office/drawing/2014/main" id="{60BE1488-3CA0-DC99-DD6F-46E966015155}"/>
            </a:ext>
          </a:extLst>
        </xdr:cNvPr>
        <xdr:cNvGrpSpPr/>
      </xdr:nvGrpSpPr>
      <xdr:grpSpPr>
        <a:xfrm>
          <a:off x="5381623" y="3810001"/>
          <a:ext cx="742949" cy="314324"/>
          <a:chOff x="6429372" y="4876801"/>
          <a:chExt cx="781049" cy="323850"/>
        </a:xfrm>
      </xdr:grpSpPr>
      <xdr:pic>
        <xdr:nvPicPr>
          <xdr:cNvPr id="1032" name="Picture 1031">
            <a:extLst>
              <a:ext uri="{FF2B5EF4-FFF2-40B4-BE49-F238E27FC236}">
                <a16:creationId xmlns:a16="http://schemas.microsoft.com/office/drawing/2014/main" id="{3AF0F8AB-4903-E589-2C4A-5EAC9DB3D5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29372" y="4876801"/>
            <a:ext cx="781049" cy="323850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noFill/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TextBox1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57950" y="4905376"/>
                <a:ext cx="704850" cy="2363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47625</xdr:colOff>
      <xdr:row>20</xdr:row>
      <xdr:rowOff>276225</xdr:rowOff>
    </xdr:from>
    <xdr:to>
      <xdr:col>5</xdr:col>
      <xdr:colOff>180974</xdr:colOff>
      <xdr:row>20</xdr:row>
      <xdr:rowOff>590549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AE340091-F169-41A7-AE44-9C2D3CA3B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536257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20</xdr:row>
          <xdr:rowOff>285750</xdr:rowOff>
        </xdr:from>
        <xdr:to>
          <xdr:col>5</xdr:col>
          <xdr:colOff>152400</xdr:colOff>
          <xdr:row>20</xdr:row>
          <xdr:rowOff>542925</xdr:rowOff>
        </xdr:to>
        <xdr:sp macro="" textlink="">
          <xdr:nvSpPr>
            <xdr:cNvPr id="1050" name="TextBox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47625</xdr:colOff>
      <xdr:row>25</xdr:row>
      <xdr:rowOff>266700</xdr:rowOff>
    </xdr:from>
    <xdr:to>
      <xdr:col>5</xdr:col>
      <xdr:colOff>180974</xdr:colOff>
      <xdr:row>25</xdr:row>
      <xdr:rowOff>581024</xdr:rowOff>
    </xdr:to>
    <xdr:pic>
      <xdr:nvPicPr>
        <xdr:cNvPr id="1049" name="Picture 1048">
          <a:extLst>
            <a:ext uri="{FF2B5EF4-FFF2-40B4-BE49-F238E27FC236}">
              <a16:creationId xmlns:a16="http://schemas.microsoft.com/office/drawing/2014/main" id="{E8DA6ABD-3D69-4A41-A7EF-6665C87A5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701992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 prst="cross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25</xdr:row>
          <xdr:rowOff>285750</xdr:rowOff>
        </xdr:from>
        <xdr:to>
          <xdr:col>5</xdr:col>
          <xdr:colOff>161925</xdr:colOff>
          <xdr:row>25</xdr:row>
          <xdr:rowOff>542925</xdr:rowOff>
        </xdr:to>
        <xdr:sp macro="" textlink="">
          <xdr:nvSpPr>
            <xdr:cNvPr id="1051" name="TextBox3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104776</xdr:colOff>
      <xdr:row>15</xdr:row>
      <xdr:rowOff>628650</xdr:rowOff>
    </xdr:from>
    <xdr:to>
      <xdr:col>4</xdr:col>
      <xdr:colOff>378320</xdr:colOff>
      <xdr:row>16</xdr:row>
      <xdr:rowOff>95250</xdr:rowOff>
    </xdr:to>
    <xdr:pic macro="[0]!Plus1_Click">
      <xdr:nvPicPr>
        <xdr:cNvPr id="1053" name="Picture 1052">
          <a:extLst>
            <a:ext uri="{FF2B5EF4-FFF2-40B4-BE49-F238E27FC236}">
              <a16:creationId xmlns:a16="http://schemas.microsoft.com/office/drawing/2014/main" id="{3217BF45-EACE-BE97-93CC-F7B92849D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6" y="40767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466728</xdr:colOff>
      <xdr:row>15</xdr:row>
      <xdr:rowOff>628651</xdr:rowOff>
    </xdr:from>
    <xdr:to>
      <xdr:col>5</xdr:col>
      <xdr:colOff>142876</xdr:colOff>
      <xdr:row>16</xdr:row>
      <xdr:rowOff>95250</xdr:rowOff>
    </xdr:to>
    <xdr:pic macro="[0]!Minus1_Click">
      <xdr:nvPicPr>
        <xdr:cNvPr id="1055" name="Picture 1054">
          <a:extLst>
            <a:ext uri="{FF2B5EF4-FFF2-40B4-BE49-F238E27FC236}">
              <a16:creationId xmlns:a16="http://schemas.microsoft.com/office/drawing/2014/main" id="{A84CC409-9753-01F1-2F4E-10E35F781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8" y="40767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20</xdr:row>
      <xdr:rowOff>657225</xdr:rowOff>
    </xdr:from>
    <xdr:to>
      <xdr:col>4</xdr:col>
      <xdr:colOff>378319</xdr:colOff>
      <xdr:row>21</xdr:row>
      <xdr:rowOff>0</xdr:rowOff>
    </xdr:to>
    <xdr:pic macro="[0]!Plus2_Click">
      <xdr:nvPicPr>
        <xdr:cNvPr id="2368" name="Picture 2367">
          <a:extLst>
            <a:ext uri="{FF2B5EF4-FFF2-40B4-BE49-F238E27FC236}">
              <a16:creationId xmlns:a16="http://schemas.microsoft.com/office/drawing/2014/main" id="{348DB0B2-AFF1-4A4D-B937-49593B414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5743575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20</xdr:row>
      <xdr:rowOff>657226</xdr:rowOff>
    </xdr:from>
    <xdr:to>
      <xdr:col>5</xdr:col>
      <xdr:colOff>142875</xdr:colOff>
      <xdr:row>21</xdr:row>
      <xdr:rowOff>0</xdr:rowOff>
    </xdr:to>
    <xdr:pic macro="[0]!Minus2_Click">
      <xdr:nvPicPr>
        <xdr:cNvPr id="2369" name="Picture 2368">
          <a:extLst>
            <a:ext uri="{FF2B5EF4-FFF2-40B4-BE49-F238E27FC236}">
              <a16:creationId xmlns:a16="http://schemas.microsoft.com/office/drawing/2014/main" id="{8304FB5D-E4BD-43F4-A21D-12F082BF0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5743576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25</xdr:row>
      <xdr:rowOff>638175</xdr:rowOff>
    </xdr:from>
    <xdr:to>
      <xdr:col>4</xdr:col>
      <xdr:colOff>378319</xdr:colOff>
      <xdr:row>26</xdr:row>
      <xdr:rowOff>123825</xdr:rowOff>
    </xdr:to>
    <xdr:pic macro="[0]!Plus3_Click">
      <xdr:nvPicPr>
        <xdr:cNvPr id="2370" name="Picture 2369">
          <a:extLst>
            <a:ext uri="{FF2B5EF4-FFF2-40B4-BE49-F238E27FC236}">
              <a16:creationId xmlns:a16="http://schemas.microsoft.com/office/drawing/2014/main" id="{42D633EE-EEAE-48F9-85ED-42A625B56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73914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25</xdr:row>
      <xdr:rowOff>638176</xdr:rowOff>
    </xdr:from>
    <xdr:to>
      <xdr:col>5</xdr:col>
      <xdr:colOff>142875</xdr:colOff>
      <xdr:row>26</xdr:row>
      <xdr:rowOff>123825</xdr:rowOff>
    </xdr:to>
    <xdr:pic macro="[0]!Minus3_Click">
      <xdr:nvPicPr>
        <xdr:cNvPr id="2371" name="Picture 2370">
          <a:extLst>
            <a:ext uri="{FF2B5EF4-FFF2-40B4-BE49-F238E27FC236}">
              <a16:creationId xmlns:a16="http://schemas.microsoft.com/office/drawing/2014/main" id="{EEFB4A28-6C14-4C8D-9FD4-BD3A3EB4E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73914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oneCellAnchor>
    <xdr:from>
      <xdr:col>2</xdr:col>
      <xdr:colOff>623274</xdr:colOff>
      <xdr:row>0</xdr:row>
      <xdr:rowOff>0</xdr:rowOff>
    </xdr:from>
    <xdr:ext cx="1766381" cy="593304"/>
    <xdr:sp macro="" textlink="">
      <xdr:nvSpPr>
        <xdr:cNvPr id="2373" name="TextBox 2372">
          <a:extLst>
            <a:ext uri="{FF2B5EF4-FFF2-40B4-BE49-F238E27FC236}">
              <a16:creationId xmlns:a16="http://schemas.microsoft.com/office/drawing/2014/main" id="{10E56A72-7C64-A013-45ED-8CAE52BB655D}"/>
            </a:ext>
          </a:extLst>
        </xdr:cNvPr>
        <xdr:cNvSpPr txBox="1"/>
      </xdr:nvSpPr>
      <xdr:spPr>
        <a:xfrm>
          <a:off x="2356824" y="0"/>
          <a:ext cx="1766381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800" b="0" cap="none" spc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Speedy</a:t>
          </a:r>
          <a:r>
            <a:rPr lang="en-US" sz="18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Bill</a:t>
          </a:r>
          <a:br>
            <a:rPr lang="en-US" sz="12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n-US" sz="14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Quick Invoice System</a:t>
          </a:r>
          <a:endParaRPr lang="en-US" sz="1200" b="0" cap="none" spc="0">
            <a:ln w="0">
              <a:solidFill>
                <a:schemeClr val="accent2"/>
              </a:solidFill>
            </a:ln>
            <a:solidFill>
              <a:schemeClr val="accent2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</xdr:col>
      <xdr:colOff>206693</xdr:colOff>
      <xdr:row>15</xdr:row>
      <xdr:rowOff>50483</xdr:rowOff>
    </xdr:from>
    <xdr:to>
      <xdr:col>1</xdr:col>
      <xdr:colOff>869633</xdr:colOff>
      <xdr:row>15</xdr:row>
      <xdr:rowOff>606743</xdr:rowOff>
    </xdr:to>
    <xdr:pic>
      <xdr:nvPicPr>
        <xdr:cNvPr id="2411" name="Graphic 2410" descr="Sink">
          <a:extLst>
            <a:ext uri="{FF2B5EF4-FFF2-40B4-BE49-F238E27FC236}">
              <a16:creationId xmlns:a16="http://schemas.microsoft.com/office/drawing/2014/main" id="{BC8F769C-E9DA-4EB1-948C-64496BDB5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863918" y="3546158"/>
          <a:ext cx="662940" cy="556260"/>
        </a:xfrm>
        <a:prstGeom prst="rect">
          <a:avLst/>
        </a:prstGeom>
      </xdr:spPr>
    </xdr:pic>
    <xdr:clientData/>
  </xdr:twoCellAnchor>
  <xdr:twoCellAnchor>
    <xdr:from>
      <xdr:col>1</xdr:col>
      <xdr:colOff>271463</xdr:colOff>
      <xdr:row>16</xdr:row>
      <xdr:rowOff>154436</xdr:rowOff>
    </xdr:from>
    <xdr:to>
      <xdr:col>1</xdr:col>
      <xdr:colOff>804863</xdr:colOff>
      <xdr:row>16</xdr:row>
      <xdr:rowOff>693290</xdr:rowOff>
    </xdr:to>
    <xdr:pic>
      <xdr:nvPicPr>
        <xdr:cNvPr id="2412" name="Picture 2411">
          <a:extLst>
            <a:ext uri="{FF2B5EF4-FFF2-40B4-BE49-F238E27FC236}">
              <a16:creationId xmlns:a16="http://schemas.microsoft.com/office/drawing/2014/main" id="{1C648B18-D916-4DE4-B3E1-ED3A9FC45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2868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2</xdr:col>
      <xdr:colOff>1103948</xdr:colOff>
      <xdr:row>15</xdr:row>
      <xdr:rowOff>46672</xdr:rowOff>
    </xdr:from>
    <xdr:to>
      <xdr:col>2</xdr:col>
      <xdr:colOff>1667828</xdr:colOff>
      <xdr:row>15</xdr:row>
      <xdr:rowOff>610552</xdr:rowOff>
    </xdr:to>
    <xdr:pic>
      <xdr:nvPicPr>
        <xdr:cNvPr id="2413" name="Graphic 2412" descr="Sink">
          <a:extLst>
            <a:ext uri="{FF2B5EF4-FFF2-40B4-BE49-F238E27FC236}">
              <a16:creationId xmlns:a16="http://schemas.microsoft.com/office/drawing/2014/main" id="{3B5EAC1E-04B8-4DC0-AF1E-8DC9D4B64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7498" y="3542347"/>
          <a:ext cx="563880" cy="563880"/>
        </a:xfrm>
        <a:prstGeom prst="rect">
          <a:avLst/>
        </a:prstGeom>
      </xdr:spPr>
    </xdr:pic>
    <xdr:clientData/>
  </xdr:twoCellAnchor>
  <xdr:twoCellAnchor>
    <xdr:from>
      <xdr:col>2</xdr:col>
      <xdr:colOff>1119188</xdr:colOff>
      <xdr:row>16</xdr:row>
      <xdr:rowOff>154436</xdr:rowOff>
    </xdr:from>
    <xdr:to>
      <xdr:col>2</xdr:col>
      <xdr:colOff>1652588</xdr:colOff>
      <xdr:row>16</xdr:row>
      <xdr:rowOff>693290</xdr:rowOff>
    </xdr:to>
    <xdr:pic>
      <xdr:nvPicPr>
        <xdr:cNvPr id="2414" name="Picture 2413">
          <a:extLst>
            <a:ext uri="{FF2B5EF4-FFF2-40B4-BE49-F238E27FC236}">
              <a16:creationId xmlns:a16="http://schemas.microsoft.com/office/drawing/2014/main" id="{471F8B68-D4E5-4CC2-B9A7-F87F25BB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85273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3</xdr:col>
      <xdr:colOff>132397</xdr:colOff>
      <xdr:row>15</xdr:row>
      <xdr:rowOff>50483</xdr:rowOff>
    </xdr:from>
    <xdr:to>
      <xdr:col>3</xdr:col>
      <xdr:colOff>696277</xdr:colOff>
      <xdr:row>15</xdr:row>
      <xdr:rowOff>606743</xdr:rowOff>
    </xdr:to>
    <xdr:pic>
      <xdr:nvPicPr>
        <xdr:cNvPr id="2415" name="Graphic 2414" descr="Sink">
          <a:extLst>
            <a:ext uri="{FF2B5EF4-FFF2-40B4-BE49-F238E27FC236}">
              <a16:creationId xmlns:a16="http://schemas.microsoft.com/office/drawing/2014/main" id="{5AE0A081-5419-4B67-824A-285EEA846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637722" y="3546158"/>
          <a:ext cx="563880" cy="556260"/>
        </a:xfrm>
        <a:prstGeom prst="rect">
          <a:avLst/>
        </a:prstGeom>
        <a:effectLst/>
      </xdr:spPr>
    </xdr:pic>
    <xdr:clientData/>
  </xdr:twoCellAnchor>
  <xdr:twoCellAnchor>
    <xdr:from>
      <xdr:col>3</xdr:col>
      <xdr:colOff>147638</xdr:colOff>
      <xdr:row>16</xdr:row>
      <xdr:rowOff>154436</xdr:rowOff>
    </xdr:from>
    <xdr:to>
      <xdr:col>3</xdr:col>
      <xdr:colOff>681038</xdr:colOff>
      <xdr:row>16</xdr:row>
      <xdr:rowOff>693290</xdr:rowOff>
    </xdr:to>
    <xdr:pic>
      <xdr:nvPicPr>
        <xdr:cNvPr id="2416" name="Picture 2415">
          <a:extLst>
            <a:ext uri="{FF2B5EF4-FFF2-40B4-BE49-F238E27FC236}">
              <a16:creationId xmlns:a16="http://schemas.microsoft.com/office/drawing/2014/main" id="{2E88D87D-F402-4991-9F2C-3DDA124B1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652963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1</xdr:col>
      <xdr:colOff>305753</xdr:colOff>
      <xdr:row>20</xdr:row>
      <xdr:rowOff>115253</xdr:rowOff>
    </xdr:from>
    <xdr:to>
      <xdr:col>1</xdr:col>
      <xdr:colOff>770572</xdr:colOff>
      <xdr:row>20</xdr:row>
      <xdr:rowOff>580072</xdr:rowOff>
    </xdr:to>
    <xdr:pic>
      <xdr:nvPicPr>
        <xdr:cNvPr id="2417" name="Picture 2416">
          <a:extLst>
            <a:ext uri="{FF2B5EF4-FFF2-40B4-BE49-F238E27FC236}">
              <a16:creationId xmlns:a16="http://schemas.microsoft.com/office/drawing/2014/main" id="{20D1E3B7-7F2C-4841-8206-3E3F4C09B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978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1153478</xdr:colOff>
      <xdr:row>20</xdr:row>
      <xdr:rowOff>115253</xdr:rowOff>
    </xdr:from>
    <xdr:to>
      <xdr:col>2</xdr:col>
      <xdr:colOff>1618297</xdr:colOff>
      <xdr:row>20</xdr:row>
      <xdr:rowOff>580072</xdr:rowOff>
    </xdr:to>
    <xdr:pic>
      <xdr:nvPicPr>
        <xdr:cNvPr id="2418" name="Picture 2417">
          <a:extLst>
            <a:ext uri="{FF2B5EF4-FFF2-40B4-BE49-F238E27FC236}">
              <a16:creationId xmlns:a16="http://schemas.microsoft.com/office/drawing/2014/main" id="{4E34EC1A-5725-4902-A4D5-D7DD09CF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7028" y="5715953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twoCellAnchor>
  <xdr:twoCellAnchor>
    <xdr:from>
      <xdr:col>3</xdr:col>
      <xdr:colOff>181928</xdr:colOff>
      <xdr:row>20</xdr:row>
      <xdr:rowOff>115253</xdr:rowOff>
    </xdr:from>
    <xdr:to>
      <xdr:col>3</xdr:col>
      <xdr:colOff>646747</xdr:colOff>
      <xdr:row>20</xdr:row>
      <xdr:rowOff>580072</xdr:rowOff>
    </xdr:to>
    <xdr:pic>
      <xdr:nvPicPr>
        <xdr:cNvPr id="2419" name="Picture 2418">
          <a:extLst>
            <a:ext uri="{FF2B5EF4-FFF2-40B4-BE49-F238E27FC236}">
              <a16:creationId xmlns:a16="http://schemas.microsoft.com/office/drawing/2014/main" id="{16D0A75C-D72B-415B-A8AD-D1D369F2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7253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1</xdr:col>
      <xdr:colOff>244793</xdr:colOff>
      <xdr:row>25</xdr:row>
      <xdr:rowOff>104776</xdr:rowOff>
    </xdr:from>
    <xdr:to>
      <xdr:col>1</xdr:col>
      <xdr:colOff>694373</xdr:colOff>
      <xdr:row>25</xdr:row>
      <xdr:rowOff>554356</xdr:rowOff>
    </xdr:to>
    <xdr:pic>
      <xdr:nvPicPr>
        <xdr:cNvPr id="2420" name="Graphic 2419" descr="Sink">
          <a:extLst>
            <a:ext uri="{FF2B5EF4-FFF2-40B4-BE49-F238E27FC236}">
              <a16:creationId xmlns:a16="http://schemas.microsoft.com/office/drawing/2014/main" id="{09BD1159-3111-4320-AFE4-6F186C8D7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02018" y="7943851"/>
          <a:ext cx="449580" cy="449580"/>
        </a:xfrm>
        <a:prstGeom prst="rect">
          <a:avLst/>
        </a:prstGeom>
      </xdr:spPr>
    </xdr:pic>
    <xdr:clientData/>
  </xdr:twoCellAnchor>
  <xdr:twoCellAnchor>
    <xdr:from>
      <xdr:col>1</xdr:col>
      <xdr:colOff>580073</xdr:colOff>
      <xdr:row>25</xdr:row>
      <xdr:rowOff>310515</xdr:rowOff>
    </xdr:from>
    <xdr:to>
      <xdr:col>1</xdr:col>
      <xdr:colOff>831532</xdr:colOff>
      <xdr:row>25</xdr:row>
      <xdr:rowOff>561974</xdr:rowOff>
    </xdr:to>
    <xdr:pic>
      <xdr:nvPicPr>
        <xdr:cNvPr id="2421" name="Picture 2420">
          <a:extLst>
            <a:ext uri="{FF2B5EF4-FFF2-40B4-BE49-F238E27FC236}">
              <a16:creationId xmlns:a16="http://schemas.microsoft.com/office/drawing/2014/main" id="{C763D8A7-9D9A-430C-AB3D-3747D3F47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29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1092518</xdr:colOff>
      <xdr:row>25</xdr:row>
      <xdr:rowOff>104776</xdr:rowOff>
    </xdr:from>
    <xdr:to>
      <xdr:col>2</xdr:col>
      <xdr:colOff>1542098</xdr:colOff>
      <xdr:row>25</xdr:row>
      <xdr:rowOff>554356</xdr:rowOff>
    </xdr:to>
    <xdr:pic>
      <xdr:nvPicPr>
        <xdr:cNvPr id="2422" name="Graphic 2421" descr="Sink">
          <a:extLst>
            <a:ext uri="{FF2B5EF4-FFF2-40B4-BE49-F238E27FC236}">
              <a16:creationId xmlns:a16="http://schemas.microsoft.com/office/drawing/2014/main" id="{E540C8F0-3649-46DD-B3FB-6E87B1EFF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826068" y="7943851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2</xdr:col>
      <xdr:colOff>1427798</xdr:colOff>
      <xdr:row>25</xdr:row>
      <xdr:rowOff>310515</xdr:rowOff>
    </xdr:from>
    <xdr:to>
      <xdr:col>2</xdr:col>
      <xdr:colOff>1679257</xdr:colOff>
      <xdr:row>25</xdr:row>
      <xdr:rowOff>561974</xdr:rowOff>
    </xdr:to>
    <xdr:pic>
      <xdr:nvPicPr>
        <xdr:cNvPr id="2423" name="Picture 2422">
          <a:extLst>
            <a:ext uri="{FF2B5EF4-FFF2-40B4-BE49-F238E27FC236}">
              <a16:creationId xmlns:a16="http://schemas.microsoft.com/office/drawing/2014/main" id="{90382057-4F06-42A9-AA0D-CED41F751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134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3</xdr:col>
      <xdr:colOff>126683</xdr:colOff>
      <xdr:row>25</xdr:row>
      <xdr:rowOff>89536</xdr:rowOff>
    </xdr:from>
    <xdr:to>
      <xdr:col>3</xdr:col>
      <xdr:colOff>576263</xdr:colOff>
      <xdr:row>25</xdr:row>
      <xdr:rowOff>539116</xdr:rowOff>
    </xdr:to>
    <xdr:pic>
      <xdr:nvPicPr>
        <xdr:cNvPr id="2424" name="Graphic 2423" descr="Sink">
          <a:extLst>
            <a:ext uri="{FF2B5EF4-FFF2-40B4-BE49-F238E27FC236}">
              <a16:creationId xmlns:a16="http://schemas.microsoft.com/office/drawing/2014/main" id="{DEEB65D7-2971-42E2-9526-F8A57CCE1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632008" y="7928611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3</xdr:col>
      <xdr:colOff>450533</xdr:colOff>
      <xdr:row>25</xdr:row>
      <xdr:rowOff>325755</xdr:rowOff>
    </xdr:from>
    <xdr:to>
      <xdr:col>3</xdr:col>
      <xdr:colOff>701992</xdr:colOff>
      <xdr:row>25</xdr:row>
      <xdr:rowOff>577214</xdr:rowOff>
    </xdr:to>
    <xdr:pic>
      <xdr:nvPicPr>
        <xdr:cNvPr id="2425" name="Picture 2424">
          <a:extLst>
            <a:ext uri="{FF2B5EF4-FFF2-40B4-BE49-F238E27FC236}">
              <a16:creationId xmlns:a16="http://schemas.microsoft.com/office/drawing/2014/main" id="{5635AE7B-CACA-4143-8FEE-635FFECFC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5858" y="816483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22860</xdr:colOff>
      <xdr:row>2</xdr:row>
      <xdr:rowOff>15240</xdr:rowOff>
    </xdr:from>
    <xdr:ext cx="662940" cy="556260"/>
    <xdr:pic>
      <xdr:nvPicPr>
        <xdr:cNvPr id="2" name="Graphic 1" descr="Sink">
          <a:extLst>
            <a:ext uri="{FF2B5EF4-FFF2-40B4-BE49-F238E27FC236}">
              <a16:creationId xmlns:a16="http://schemas.microsoft.com/office/drawing/2014/main" id="{F6384D1F-3AAF-44CB-B6E4-B867DAE7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42060" y="558165"/>
          <a:ext cx="662940" cy="556260"/>
        </a:xfrm>
        <a:prstGeom prst="rect">
          <a:avLst/>
        </a:prstGeom>
      </xdr:spPr>
    </xdr:pic>
    <xdr:clientData/>
  </xdr:oneCellAnchor>
  <xdr:oneCellAnchor>
    <xdr:from>
      <xdr:col>3</xdr:col>
      <xdr:colOff>15240</xdr:colOff>
      <xdr:row>2</xdr:row>
      <xdr:rowOff>7620</xdr:rowOff>
    </xdr:from>
    <xdr:ext cx="563880" cy="563880"/>
    <xdr:pic>
      <xdr:nvPicPr>
        <xdr:cNvPr id="3" name="Graphic 2" descr="Sink">
          <a:extLst>
            <a:ext uri="{FF2B5EF4-FFF2-40B4-BE49-F238E27FC236}">
              <a16:creationId xmlns:a16="http://schemas.microsoft.com/office/drawing/2014/main" id="{A2741D02-DD20-47E2-B41F-289D36DAD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4040" y="388620"/>
          <a:ext cx="563880" cy="563880"/>
        </a:xfrm>
        <a:prstGeom prst="rect">
          <a:avLst/>
        </a:prstGeom>
      </xdr:spPr>
    </xdr:pic>
    <xdr:clientData/>
  </xdr:oneCellAnchor>
  <xdr:twoCellAnchor>
    <xdr:from>
      <xdr:col>4</xdr:col>
      <xdr:colOff>45720</xdr:colOff>
      <xdr:row>2</xdr:row>
      <xdr:rowOff>15240</xdr:rowOff>
    </xdr:from>
    <xdr:to>
      <xdr:col>5</xdr:col>
      <xdr:colOff>0</xdr:colOff>
      <xdr:row>3</xdr:row>
      <xdr:rowOff>0</xdr:rowOff>
    </xdr:to>
    <xdr:pic>
      <xdr:nvPicPr>
        <xdr:cNvPr id="4" name="Graphic 3" descr="Sink">
          <a:extLst>
            <a:ext uri="{FF2B5EF4-FFF2-40B4-BE49-F238E27FC236}">
              <a16:creationId xmlns:a16="http://schemas.microsoft.com/office/drawing/2014/main" id="{80336E94-CAAA-4046-A638-69FB50BC1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84120" y="396240"/>
          <a:ext cx="563880" cy="175260"/>
        </a:xfrm>
        <a:prstGeom prst="rect">
          <a:avLst/>
        </a:prstGeom>
        <a:effectLst/>
      </xdr:spPr>
    </xdr:pic>
    <xdr:clientData/>
  </xdr:twoCellAnchor>
  <xdr:oneCellAnchor>
    <xdr:from>
      <xdr:col>6</xdr:col>
      <xdr:colOff>83820</xdr:colOff>
      <xdr:row>2</xdr:row>
      <xdr:rowOff>60960</xdr:rowOff>
    </xdr:from>
    <xdr:ext cx="464819" cy="464819"/>
    <xdr:pic>
      <xdr:nvPicPr>
        <xdr:cNvPr id="5" name="Picture 4">
          <a:extLst>
            <a:ext uri="{FF2B5EF4-FFF2-40B4-BE49-F238E27FC236}">
              <a16:creationId xmlns:a16="http://schemas.microsoft.com/office/drawing/2014/main" id="{3A8ED046-8B1B-4EAF-88ED-73B7513E5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1420" y="441960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7</xdr:col>
      <xdr:colOff>53340</xdr:colOff>
      <xdr:row>2</xdr:row>
      <xdr:rowOff>45720</xdr:rowOff>
    </xdr:from>
    <xdr:ext cx="464819" cy="464819"/>
    <xdr:pic>
      <xdr:nvPicPr>
        <xdr:cNvPr id="6" name="Picture 5">
          <a:extLst>
            <a:ext uri="{FF2B5EF4-FFF2-40B4-BE49-F238E27FC236}">
              <a16:creationId xmlns:a16="http://schemas.microsoft.com/office/drawing/2014/main" id="{7F96804A-C8FB-463F-A6C2-C3697C3BF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0540" y="426720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oneCellAnchor>
  <xdr:oneCellAnchor>
    <xdr:from>
      <xdr:col>8</xdr:col>
      <xdr:colOff>60960</xdr:colOff>
      <xdr:row>2</xdr:row>
      <xdr:rowOff>53340</xdr:rowOff>
    </xdr:from>
    <xdr:ext cx="464819" cy="464819"/>
    <xdr:pic>
      <xdr:nvPicPr>
        <xdr:cNvPr id="7" name="Picture 6">
          <a:extLst>
            <a:ext uri="{FF2B5EF4-FFF2-40B4-BE49-F238E27FC236}">
              <a16:creationId xmlns:a16="http://schemas.microsoft.com/office/drawing/2014/main" id="{A5CDB183-2B3E-4FBA-AEFD-5BBE77E87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7760" y="434340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10</xdr:col>
      <xdr:colOff>7620</xdr:colOff>
      <xdr:row>2</xdr:row>
      <xdr:rowOff>0</xdr:rowOff>
    </xdr:from>
    <xdr:ext cx="449580" cy="449580"/>
    <xdr:pic>
      <xdr:nvPicPr>
        <xdr:cNvPr id="8" name="Graphic 7" descr="Sink">
          <a:extLst>
            <a:ext uri="{FF2B5EF4-FFF2-40B4-BE49-F238E27FC236}">
              <a16:creationId xmlns:a16="http://schemas.microsoft.com/office/drawing/2014/main" id="{CE2D3178-901C-4FA6-B90F-E85B8CC27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03620" y="381000"/>
          <a:ext cx="449580" cy="44958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2</xdr:row>
      <xdr:rowOff>205740</xdr:rowOff>
    </xdr:from>
    <xdr:ext cx="251459" cy="251459"/>
    <xdr:pic>
      <xdr:nvPicPr>
        <xdr:cNvPr id="9" name="Picture 8">
          <a:extLst>
            <a:ext uri="{FF2B5EF4-FFF2-40B4-BE49-F238E27FC236}">
              <a16:creationId xmlns:a16="http://schemas.microsoft.com/office/drawing/2014/main" id="{7A6AA7D4-A568-4475-A567-1E0D124D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11</xdr:col>
      <xdr:colOff>7620</xdr:colOff>
      <xdr:row>2</xdr:row>
      <xdr:rowOff>0</xdr:rowOff>
    </xdr:from>
    <xdr:ext cx="449580" cy="449580"/>
    <xdr:pic>
      <xdr:nvPicPr>
        <xdr:cNvPr id="10" name="Graphic 9" descr="Sink">
          <a:extLst>
            <a:ext uri="{FF2B5EF4-FFF2-40B4-BE49-F238E27FC236}">
              <a16:creationId xmlns:a16="http://schemas.microsoft.com/office/drawing/2014/main" id="{0345B379-E772-479E-B87E-3A386CA84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13220" y="381000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11</xdr:col>
      <xdr:colOff>342900</xdr:colOff>
      <xdr:row>2</xdr:row>
      <xdr:rowOff>205740</xdr:rowOff>
    </xdr:from>
    <xdr:ext cx="251459" cy="251459"/>
    <xdr:pic>
      <xdr:nvPicPr>
        <xdr:cNvPr id="11" name="Picture 10">
          <a:extLst>
            <a:ext uri="{FF2B5EF4-FFF2-40B4-BE49-F238E27FC236}">
              <a16:creationId xmlns:a16="http://schemas.microsoft.com/office/drawing/2014/main" id="{DABC1BEA-4343-45F7-A1B7-2B20FC512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14</xdr:col>
      <xdr:colOff>60960</xdr:colOff>
      <xdr:row>2</xdr:row>
      <xdr:rowOff>53340</xdr:rowOff>
    </xdr:from>
    <xdr:ext cx="525780" cy="518160"/>
    <xdr:pic>
      <xdr:nvPicPr>
        <xdr:cNvPr id="14" name="Graphic 13" descr="Magnet">
          <a:extLst>
            <a:ext uri="{FF2B5EF4-FFF2-40B4-BE49-F238E27FC236}">
              <a16:creationId xmlns:a16="http://schemas.microsoft.com/office/drawing/2014/main" id="{A9C49A3E-B4F6-47B0-AF5F-1C17357C4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595360" y="434340"/>
          <a:ext cx="525780" cy="518160"/>
        </a:xfrm>
        <a:prstGeom prst="rect">
          <a:avLst/>
        </a:prstGeom>
      </xdr:spPr>
    </xdr:pic>
    <xdr:clientData/>
  </xdr:oneCellAnchor>
  <xdr:oneCellAnchor>
    <xdr:from>
      <xdr:col>15</xdr:col>
      <xdr:colOff>53340</xdr:colOff>
      <xdr:row>2</xdr:row>
      <xdr:rowOff>45720</xdr:rowOff>
    </xdr:from>
    <xdr:ext cx="525780" cy="525780"/>
    <xdr:pic>
      <xdr:nvPicPr>
        <xdr:cNvPr id="15" name="Graphic 14" descr="Magnet">
          <a:extLst>
            <a:ext uri="{FF2B5EF4-FFF2-40B4-BE49-F238E27FC236}">
              <a16:creationId xmlns:a16="http://schemas.microsoft.com/office/drawing/2014/main" id="{BFB085E5-0B62-48E0-9F3A-660ADD32A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7340" y="426720"/>
          <a:ext cx="525780" cy="525780"/>
        </a:xfrm>
        <a:prstGeom prst="rect">
          <a:avLst/>
        </a:prstGeom>
      </xdr:spPr>
    </xdr:pic>
    <xdr:clientData/>
  </xdr:oneCellAnchor>
  <xdr:oneCellAnchor>
    <xdr:from>
      <xdr:col>16</xdr:col>
      <xdr:colOff>30480</xdr:colOff>
      <xdr:row>2</xdr:row>
      <xdr:rowOff>38100</xdr:rowOff>
    </xdr:from>
    <xdr:ext cx="525780" cy="525780"/>
    <xdr:pic>
      <xdr:nvPicPr>
        <xdr:cNvPr id="16" name="Graphic 15" descr="Magnet">
          <a:extLst>
            <a:ext uri="{FF2B5EF4-FFF2-40B4-BE49-F238E27FC236}">
              <a16:creationId xmlns:a16="http://schemas.microsoft.com/office/drawing/2014/main" id="{A9208273-18EE-44A4-B68F-8B31FB359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978408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7" name="Graphic 16" descr="Puzzle pieces">
          <a:extLst>
            <a:ext uri="{FF2B5EF4-FFF2-40B4-BE49-F238E27FC236}">
              <a16:creationId xmlns:a16="http://schemas.microsoft.com/office/drawing/2014/main" id="{B9F5C043-FF47-402A-B203-F8ACF9DD7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8" name="Graphic 17" descr="Puzzle pieces">
          <a:extLst>
            <a:ext uri="{FF2B5EF4-FFF2-40B4-BE49-F238E27FC236}">
              <a16:creationId xmlns:a16="http://schemas.microsoft.com/office/drawing/2014/main" id="{FDF6F228-059F-4F81-9788-72B3E917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19" name="Graphic 18" descr="Puzzle pieces">
          <a:extLst>
            <a:ext uri="{FF2B5EF4-FFF2-40B4-BE49-F238E27FC236}">
              <a16:creationId xmlns:a16="http://schemas.microsoft.com/office/drawing/2014/main" id="{88BA6F8A-41E7-46C3-B32A-43B6E2AAD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20" name="Graphic 19" descr="Puzzle pieces">
          <a:extLst>
            <a:ext uri="{FF2B5EF4-FFF2-40B4-BE49-F238E27FC236}">
              <a16:creationId xmlns:a16="http://schemas.microsoft.com/office/drawing/2014/main" id="{327798D6-5161-4068-A4A2-B157B55EF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1" name="Graphic 20" descr="Puzzle pieces">
          <a:extLst>
            <a:ext uri="{FF2B5EF4-FFF2-40B4-BE49-F238E27FC236}">
              <a16:creationId xmlns:a16="http://schemas.microsoft.com/office/drawing/2014/main" id="{30FF80E2-94D6-4755-A6FA-D93B045FA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2" name="Graphic 21" descr="Puzzle pieces">
          <a:extLst>
            <a:ext uri="{FF2B5EF4-FFF2-40B4-BE49-F238E27FC236}">
              <a16:creationId xmlns:a16="http://schemas.microsoft.com/office/drawing/2014/main" id="{17B0C308-B3BD-40B6-972C-5318C496A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39</xdr:col>
      <xdr:colOff>0</xdr:colOff>
      <xdr:row>2</xdr:row>
      <xdr:rowOff>0</xdr:rowOff>
    </xdr:from>
    <xdr:ext cx="304800" cy="304800"/>
    <xdr:pic>
      <xdr:nvPicPr>
        <xdr:cNvPr id="23" name="Graphic 22" descr="Puzzle pieces">
          <a:extLst>
            <a:ext uri="{FF2B5EF4-FFF2-40B4-BE49-F238E27FC236}">
              <a16:creationId xmlns:a16="http://schemas.microsoft.com/office/drawing/2014/main" id="{28408E9A-155C-4061-A682-C5FB316E5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7744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39</xdr:col>
      <xdr:colOff>247218</xdr:colOff>
      <xdr:row>2</xdr:row>
      <xdr:rowOff>59304</xdr:rowOff>
    </xdr:from>
    <xdr:ext cx="309755" cy="309755"/>
    <xdr:pic>
      <xdr:nvPicPr>
        <xdr:cNvPr id="24" name="Graphic 23" descr="Puzzle pieces">
          <a:extLst>
            <a:ext uri="{FF2B5EF4-FFF2-40B4-BE49-F238E27FC236}">
              <a16:creationId xmlns:a16="http://schemas.microsoft.com/office/drawing/2014/main" id="{66AE7511-705F-437C-93F7-BE6153AD0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6807958">
          <a:off x="240216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39</xdr:col>
      <xdr:colOff>106680</xdr:colOff>
      <xdr:row>2</xdr:row>
      <xdr:rowOff>246426</xdr:rowOff>
    </xdr:from>
    <xdr:ext cx="224358" cy="224358"/>
    <xdr:pic>
      <xdr:nvPicPr>
        <xdr:cNvPr id="25" name="Graphic 24" descr="Puzzle pieces">
          <a:extLst>
            <a:ext uri="{FF2B5EF4-FFF2-40B4-BE49-F238E27FC236}">
              <a16:creationId xmlns:a16="http://schemas.microsoft.com/office/drawing/2014/main" id="{228C7CE9-8D96-4DFA-8EF0-23717BB9E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8810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40</xdr:col>
      <xdr:colOff>0</xdr:colOff>
      <xdr:row>2</xdr:row>
      <xdr:rowOff>0</xdr:rowOff>
    </xdr:from>
    <xdr:ext cx="304800" cy="304800"/>
    <xdr:pic>
      <xdr:nvPicPr>
        <xdr:cNvPr id="26" name="Graphic 25" descr="Puzzle pieces">
          <a:extLst>
            <a:ext uri="{FF2B5EF4-FFF2-40B4-BE49-F238E27FC236}">
              <a16:creationId xmlns:a16="http://schemas.microsoft.com/office/drawing/2014/main" id="{66CF93C0-A00A-485B-9B9E-BDA06B19A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3840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40</xdr:col>
      <xdr:colOff>247218</xdr:colOff>
      <xdr:row>2</xdr:row>
      <xdr:rowOff>59304</xdr:rowOff>
    </xdr:from>
    <xdr:ext cx="309755" cy="309755"/>
    <xdr:pic>
      <xdr:nvPicPr>
        <xdr:cNvPr id="27" name="Graphic 26" descr="Puzzle pieces">
          <a:extLst>
            <a:ext uri="{FF2B5EF4-FFF2-40B4-BE49-F238E27FC236}">
              <a16:creationId xmlns:a16="http://schemas.microsoft.com/office/drawing/2014/main" id="{0911169C-E043-414C-913C-31E34023B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6807958">
          <a:off x="246312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40</xdr:col>
      <xdr:colOff>106680</xdr:colOff>
      <xdr:row>2</xdr:row>
      <xdr:rowOff>246426</xdr:rowOff>
    </xdr:from>
    <xdr:ext cx="224358" cy="224358"/>
    <xdr:pic>
      <xdr:nvPicPr>
        <xdr:cNvPr id="28" name="Graphic 27" descr="Puzzle pieces">
          <a:extLst>
            <a:ext uri="{FF2B5EF4-FFF2-40B4-BE49-F238E27FC236}">
              <a16:creationId xmlns:a16="http://schemas.microsoft.com/office/drawing/2014/main" id="{CD67CB8C-98C4-4E2A-8A03-F35E9E84A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4906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41</xdr:col>
      <xdr:colOff>0</xdr:colOff>
      <xdr:row>2</xdr:row>
      <xdr:rowOff>0</xdr:rowOff>
    </xdr:from>
    <xdr:ext cx="304800" cy="304800"/>
    <xdr:pic>
      <xdr:nvPicPr>
        <xdr:cNvPr id="29" name="Graphic 28" descr="Puzzle pieces">
          <a:extLst>
            <a:ext uri="{FF2B5EF4-FFF2-40B4-BE49-F238E27FC236}">
              <a16:creationId xmlns:a16="http://schemas.microsoft.com/office/drawing/2014/main" id="{7AABFB68-2921-4D4A-8FAA-0CD33B2C0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49936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41</xdr:col>
      <xdr:colOff>247218</xdr:colOff>
      <xdr:row>2</xdr:row>
      <xdr:rowOff>59304</xdr:rowOff>
    </xdr:from>
    <xdr:ext cx="309755" cy="309755"/>
    <xdr:pic>
      <xdr:nvPicPr>
        <xdr:cNvPr id="30" name="Graphic 29" descr="Puzzle pieces">
          <a:extLst>
            <a:ext uri="{FF2B5EF4-FFF2-40B4-BE49-F238E27FC236}">
              <a16:creationId xmlns:a16="http://schemas.microsoft.com/office/drawing/2014/main" id="{31E041F1-3440-4465-A463-A3D2EAA12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 rot="16807958">
          <a:off x="252408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41</xdr:col>
      <xdr:colOff>106680</xdr:colOff>
      <xdr:row>2</xdr:row>
      <xdr:rowOff>246426</xdr:rowOff>
    </xdr:from>
    <xdr:ext cx="224358" cy="224358"/>
    <xdr:pic>
      <xdr:nvPicPr>
        <xdr:cNvPr id="31" name="Graphic 30" descr="Puzzle pieces">
          <a:extLst>
            <a:ext uri="{FF2B5EF4-FFF2-40B4-BE49-F238E27FC236}">
              <a16:creationId xmlns:a16="http://schemas.microsoft.com/office/drawing/2014/main" id="{ED2B6FDC-903D-4B56-B993-1FDA9E7EB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51002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57</xdr:col>
      <xdr:colOff>76200</xdr:colOff>
      <xdr:row>1</xdr:row>
      <xdr:rowOff>571500</xdr:rowOff>
    </xdr:from>
    <xdr:ext cx="495300" cy="495300"/>
    <xdr:pic>
      <xdr:nvPicPr>
        <xdr:cNvPr id="32" name="Graphic 31" descr="Dump truck">
          <a:extLst>
            <a:ext uri="{FF2B5EF4-FFF2-40B4-BE49-F238E27FC236}">
              <a16:creationId xmlns:a16="http://schemas.microsoft.com/office/drawing/2014/main" id="{56AEB3A0-AFC9-4082-A51F-8423D9024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34823400" y="381000"/>
          <a:ext cx="495300" cy="495300"/>
        </a:xfrm>
        <a:prstGeom prst="rect">
          <a:avLst/>
        </a:prstGeom>
      </xdr:spPr>
    </xdr:pic>
    <xdr:clientData/>
  </xdr:oneCellAnchor>
  <xdr:oneCellAnchor>
    <xdr:from>
      <xdr:col>58</xdr:col>
      <xdr:colOff>91440</xdr:colOff>
      <xdr:row>2</xdr:row>
      <xdr:rowOff>38100</xdr:rowOff>
    </xdr:from>
    <xdr:ext cx="495300" cy="495300"/>
    <xdr:pic>
      <xdr:nvPicPr>
        <xdr:cNvPr id="33" name="Graphic 32" descr="Dump truck">
          <a:extLst>
            <a:ext uri="{FF2B5EF4-FFF2-40B4-BE49-F238E27FC236}">
              <a16:creationId xmlns:a16="http://schemas.microsoft.com/office/drawing/2014/main" id="{CBC95AA8-B158-4858-A5CA-53902184C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5448240" y="419100"/>
          <a:ext cx="495300" cy="495300"/>
        </a:xfrm>
        <a:prstGeom prst="rect">
          <a:avLst/>
        </a:prstGeom>
      </xdr:spPr>
    </xdr:pic>
    <xdr:clientData/>
  </xdr:oneCellAnchor>
  <xdr:oneCellAnchor>
    <xdr:from>
      <xdr:col>59</xdr:col>
      <xdr:colOff>83820</xdr:colOff>
      <xdr:row>2</xdr:row>
      <xdr:rowOff>7620</xdr:rowOff>
    </xdr:from>
    <xdr:ext cx="495300" cy="495300"/>
    <xdr:pic>
      <xdr:nvPicPr>
        <xdr:cNvPr id="34" name="Graphic 33" descr="Dump truck">
          <a:extLst>
            <a:ext uri="{FF2B5EF4-FFF2-40B4-BE49-F238E27FC236}">
              <a16:creationId xmlns:a16="http://schemas.microsoft.com/office/drawing/2014/main" id="{DC28D394-DAFD-4C06-ABC4-4837FF26D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6050220" y="388620"/>
          <a:ext cx="495300" cy="495300"/>
        </a:xfrm>
        <a:prstGeom prst="rect">
          <a:avLst/>
        </a:prstGeom>
      </xdr:spPr>
    </xdr:pic>
    <xdr:clientData/>
  </xdr:oneCellAnchor>
  <xdr:oneCellAnchor>
    <xdr:from>
      <xdr:col>61</xdr:col>
      <xdr:colOff>53340</xdr:colOff>
      <xdr:row>2</xdr:row>
      <xdr:rowOff>38100</xdr:rowOff>
    </xdr:from>
    <xdr:ext cx="525780" cy="525780"/>
    <xdr:pic>
      <xdr:nvPicPr>
        <xdr:cNvPr id="35" name="Graphic 34" descr="Cement truck">
          <a:extLst>
            <a:ext uri="{FF2B5EF4-FFF2-40B4-BE49-F238E27FC236}">
              <a16:creationId xmlns:a16="http://schemas.microsoft.com/office/drawing/2014/main" id="{21F8D68D-78D9-49A8-BF29-6AB6655B5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3723894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62</xdr:col>
      <xdr:colOff>53340</xdr:colOff>
      <xdr:row>2</xdr:row>
      <xdr:rowOff>15240</xdr:rowOff>
    </xdr:from>
    <xdr:ext cx="525780" cy="525780"/>
    <xdr:pic>
      <xdr:nvPicPr>
        <xdr:cNvPr id="36" name="Graphic 35" descr="Cement truck">
          <a:extLst>
            <a:ext uri="{FF2B5EF4-FFF2-40B4-BE49-F238E27FC236}">
              <a16:creationId xmlns:a16="http://schemas.microsoft.com/office/drawing/2014/main" id="{BAE63443-F444-4659-AB4B-5AE2676AC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848540" y="396240"/>
          <a:ext cx="525780" cy="525780"/>
        </a:xfrm>
        <a:prstGeom prst="rect">
          <a:avLst/>
        </a:prstGeom>
      </xdr:spPr>
    </xdr:pic>
    <xdr:clientData/>
  </xdr:oneCellAnchor>
  <xdr:oneCellAnchor>
    <xdr:from>
      <xdr:col>63</xdr:col>
      <xdr:colOff>68580</xdr:colOff>
      <xdr:row>2</xdr:row>
      <xdr:rowOff>0</xdr:rowOff>
    </xdr:from>
    <xdr:ext cx="525780" cy="525780"/>
    <xdr:pic>
      <xdr:nvPicPr>
        <xdr:cNvPr id="37" name="Graphic 36" descr="Cement truck">
          <a:extLst>
            <a:ext uri="{FF2B5EF4-FFF2-40B4-BE49-F238E27FC236}">
              <a16:creationId xmlns:a16="http://schemas.microsoft.com/office/drawing/2014/main" id="{686C717E-FF34-4AE4-8E35-7C313E9A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47338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525780" cy="525780"/>
    <xdr:pic>
      <xdr:nvPicPr>
        <xdr:cNvPr id="38" name="Graphic 37" descr="Magnet">
          <a:extLst>
            <a:ext uri="{FF2B5EF4-FFF2-40B4-BE49-F238E27FC236}">
              <a16:creationId xmlns:a16="http://schemas.microsoft.com/office/drawing/2014/main" id="{C9DE8EE6-99BA-441F-A331-2E873949E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9728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281940</xdr:colOff>
      <xdr:row>2</xdr:row>
      <xdr:rowOff>281940</xdr:rowOff>
    </xdr:from>
    <xdr:ext cx="297180" cy="289560"/>
    <xdr:pic>
      <xdr:nvPicPr>
        <xdr:cNvPr id="39" name="Graphic 38" descr="Water">
          <a:extLst>
            <a:ext uri="{FF2B5EF4-FFF2-40B4-BE49-F238E27FC236}">
              <a16:creationId xmlns:a16="http://schemas.microsoft.com/office/drawing/2014/main" id="{11FD2C9E-63AB-43A9-99EA-5F43C7040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12547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525780" cy="525780"/>
    <xdr:pic>
      <xdr:nvPicPr>
        <xdr:cNvPr id="40" name="Graphic 39" descr="Magnet">
          <a:extLst>
            <a:ext uri="{FF2B5EF4-FFF2-40B4-BE49-F238E27FC236}">
              <a16:creationId xmlns:a16="http://schemas.microsoft.com/office/drawing/2014/main" id="{AAD70271-8385-41A3-8EB4-9C3EA03A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5824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19</xdr:col>
      <xdr:colOff>281940</xdr:colOff>
      <xdr:row>2</xdr:row>
      <xdr:rowOff>281940</xdr:rowOff>
    </xdr:from>
    <xdr:ext cx="297180" cy="289560"/>
    <xdr:pic>
      <xdr:nvPicPr>
        <xdr:cNvPr id="41" name="Graphic 40" descr="Water">
          <a:extLst>
            <a:ext uri="{FF2B5EF4-FFF2-40B4-BE49-F238E27FC236}">
              <a16:creationId xmlns:a16="http://schemas.microsoft.com/office/drawing/2014/main" id="{8C9CAFDA-C3F8-44DC-8D61-BFB5F4D2C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18643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525780" cy="525780"/>
    <xdr:pic>
      <xdr:nvPicPr>
        <xdr:cNvPr id="42" name="Graphic 41" descr="Magnet">
          <a:extLst>
            <a:ext uri="{FF2B5EF4-FFF2-40B4-BE49-F238E27FC236}">
              <a16:creationId xmlns:a16="http://schemas.microsoft.com/office/drawing/2014/main" id="{47A7D673-90BE-4D1E-9ED3-1183FAB92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1920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20</xdr:col>
      <xdr:colOff>281940</xdr:colOff>
      <xdr:row>2</xdr:row>
      <xdr:rowOff>281940</xdr:rowOff>
    </xdr:from>
    <xdr:ext cx="297180" cy="289560"/>
    <xdr:pic>
      <xdr:nvPicPr>
        <xdr:cNvPr id="43" name="Graphic 42" descr="Water">
          <a:extLst>
            <a:ext uri="{FF2B5EF4-FFF2-40B4-BE49-F238E27FC236}">
              <a16:creationId xmlns:a16="http://schemas.microsoft.com/office/drawing/2014/main" id="{06F1168A-C707-42B1-B336-1433A08A2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24739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4" name="Picture 43">
          <a:extLst>
            <a:ext uri="{FF2B5EF4-FFF2-40B4-BE49-F238E27FC236}">
              <a16:creationId xmlns:a16="http://schemas.microsoft.com/office/drawing/2014/main" id="{D4A7A49A-554E-4E2E-A959-19E97E8BC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23</xdr:col>
      <xdr:colOff>304799</xdr:colOff>
      <xdr:row>2</xdr:row>
      <xdr:rowOff>243840</xdr:rowOff>
    </xdr:from>
    <xdr:ext cx="251459" cy="251459"/>
    <xdr:pic>
      <xdr:nvPicPr>
        <xdr:cNvPr id="45" name="Picture 44">
          <a:extLst>
            <a:ext uri="{FF2B5EF4-FFF2-40B4-BE49-F238E27FC236}">
              <a16:creationId xmlns:a16="http://schemas.microsoft.com/office/drawing/2014/main" id="{6D7F7727-4062-49E3-9767-C8AFCE33C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3255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6" name="Picture 45">
          <a:extLst>
            <a:ext uri="{FF2B5EF4-FFF2-40B4-BE49-F238E27FC236}">
              <a16:creationId xmlns:a16="http://schemas.microsoft.com/office/drawing/2014/main" id="{0279888F-33A1-4A45-9B3A-B403C88D2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24</xdr:col>
      <xdr:colOff>304799</xdr:colOff>
      <xdr:row>2</xdr:row>
      <xdr:rowOff>243840</xdr:rowOff>
    </xdr:from>
    <xdr:ext cx="251459" cy="251459"/>
    <xdr:pic>
      <xdr:nvPicPr>
        <xdr:cNvPr id="47" name="Picture 46">
          <a:extLst>
            <a:ext uri="{FF2B5EF4-FFF2-40B4-BE49-F238E27FC236}">
              <a16:creationId xmlns:a16="http://schemas.microsoft.com/office/drawing/2014/main" id="{6F28769C-2D70-4A18-A659-A61F26037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9351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0</xdr:colOff>
      <xdr:row>2</xdr:row>
      <xdr:rowOff>0</xdr:rowOff>
    </xdr:from>
    <xdr:ext cx="449580" cy="449580"/>
    <xdr:pic>
      <xdr:nvPicPr>
        <xdr:cNvPr id="200" name="Graphic 199" descr="Sink">
          <a:extLst>
            <a:ext uri="{FF2B5EF4-FFF2-40B4-BE49-F238E27FC236}">
              <a16:creationId xmlns:a16="http://schemas.microsoft.com/office/drawing/2014/main" id="{17283DBE-B569-4B80-9051-63F583DD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53175" y="542925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323850</xdr:colOff>
      <xdr:row>2</xdr:row>
      <xdr:rowOff>236220</xdr:rowOff>
    </xdr:from>
    <xdr:ext cx="251459" cy="251459"/>
    <xdr:pic>
      <xdr:nvPicPr>
        <xdr:cNvPr id="201" name="Picture 200">
          <a:extLst>
            <a:ext uri="{FF2B5EF4-FFF2-40B4-BE49-F238E27FC236}">
              <a16:creationId xmlns:a16="http://schemas.microsoft.com/office/drawing/2014/main" id="{1CB7ACF4-1C2B-45AC-9E57-21C6DD961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025" y="779145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twoCellAnchor editAs="oneCell">
    <xdr:from>
      <xdr:col>2</xdr:col>
      <xdr:colOff>47626</xdr:colOff>
      <xdr:row>3</xdr:row>
      <xdr:rowOff>1</xdr:rowOff>
    </xdr:from>
    <xdr:to>
      <xdr:col>2</xdr:col>
      <xdr:colOff>581026</xdr:colOff>
      <xdr:row>4</xdr:row>
      <xdr:rowOff>5455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DEC4978-2797-7480-3577-3A540953E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66826" y="1114426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3</xdr:row>
      <xdr:rowOff>0</xdr:rowOff>
    </xdr:from>
    <xdr:to>
      <xdr:col>3</xdr:col>
      <xdr:colOff>552450</xdr:colOff>
      <xdr:row>4</xdr:row>
      <xdr:rowOff>5454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5FA08AF-3922-4DE1-98E1-4AE71D392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8478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3</xdr:row>
      <xdr:rowOff>0</xdr:rowOff>
    </xdr:from>
    <xdr:to>
      <xdr:col>4</xdr:col>
      <xdr:colOff>552450</xdr:colOff>
      <xdr:row>4</xdr:row>
      <xdr:rowOff>5454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2A154354-A05F-4157-B1C6-5729D6F7B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4574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533400</xdr:colOff>
      <xdr:row>4</xdr:row>
      <xdr:rowOff>5454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994DC38D-0CE7-402D-A0DC-F84E94240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1813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533400</xdr:colOff>
      <xdr:row>4</xdr:row>
      <xdr:rowOff>5454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4785F4D6-858E-45D4-99A4-FB79AC1A2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7909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533400</xdr:colOff>
      <xdr:row>4</xdr:row>
      <xdr:rowOff>5454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E00C8BFD-825A-4BBA-A87A-6A39BB31F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44005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3</xdr:row>
      <xdr:rowOff>0</xdr:rowOff>
    </xdr:from>
    <xdr:to>
      <xdr:col>10</xdr:col>
      <xdr:colOff>533400</xdr:colOff>
      <xdr:row>4</xdr:row>
      <xdr:rowOff>5454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28D0F589-AAE4-4351-A685-3325E51B2A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1339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</xdr:row>
      <xdr:rowOff>0</xdr:rowOff>
    </xdr:from>
    <xdr:to>
      <xdr:col>11</xdr:col>
      <xdr:colOff>533400</xdr:colOff>
      <xdr:row>4</xdr:row>
      <xdr:rowOff>5454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6793A647-A041-4408-80C5-03669E2D5B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7435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533400</xdr:colOff>
      <xdr:row>4</xdr:row>
      <xdr:rowOff>5454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6D699264-6DDC-4607-B686-02F5DCD702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63531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533400</xdr:colOff>
      <xdr:row>4</xdr:row>
      <xdr:rowOff>5454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74B00103-EDD7-4F0F-AC04-022C54A73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70675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</xdr:row>
      <xdr:rowOff>0</xdr:rowOff>
    </xdr:from>
    <xdr:to>
      <xdr:col>15</xdr:col>
      <xdr:colOff>533400</xdr:colOff>
      <xdr:row>4</xdr:row>
      <xdr:rowOff>5454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D85C76BD-D80A-4FCD-A47C-39E6EF2EC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76771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16</xdr:col>
      <xdr:colOff>533400</xdr:colOff>
      <xdr:row>4</xdr:row>
      <xdr:rowOff>5454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303AC7F1-15E1-4F02-9CF6-1C5DBE434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2867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3</xdr:row>
      <xdr:rowOff>0</xdr:rowOff>
    </xdr:from>
    <xdr:to>
      <xdr:col>18</xdr:col>
      <xdr:colOff>533400</xdr:colOff>
      <xdr:row>4</xdr:row>
      <xdr:rowOff>5454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8DB55492-046B-40BA-A40A-83797647B7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900112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3</xdr:row>
      <xdr:rowOff>0</xdr:rowOff>
    </xdr:from>
    <xdr:to>
      <xdr:col>19</xdr:col>
      <xdr:colOff>533400</xdr:colOff>
      <xdr:row>4</xdr:row>
      <xdr:rowOff>5454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D77A74B9-82E7-4175-96A0-7E25B300D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961072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3</xdr:row>
      <xdr:rowOff>0</xdr:rowOff>
    </xdr:from>
    <xdr:to>
      <xdr:col>20</xdr:col>
      <xdr:colOff>533400</xdr:colOff>
      <xdr:row>4</xdr:row>
      <xdr:rowOff>5454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22285A96-3510-45F6-9ABF-CB8470755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0220325" y="1114425"/>
          <a:ext cx="533400" cy="5388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500063</xdr:colOff>
      <xdr:row>0</xdr:row>
      <xdr:rowOff>28575</xdr:rowOff>
    </xdr:from>
    <xdr:to>
      <xdr:col>9</xdr:col>
      <xdr:colOff>595968</xdr:colOff>
      <xdr:row>2</xdr:row>
      <xdr:rowOff>131867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61ED7A-3D50-4231-9CCF-C131957B9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28575"/>
          <a:ext cx="705505" cy="484292"/>
        </a:xfrm>
        <a:prstGeom prst="rect">
          <a:avLst/>
        </a:prstGeom>
      </xdr:spPr>
    </xdr:pic>
    <xdr:clientData/>
  </xdr:twoCellAnchor>
  <xdr:oneCellAnchor>
    <xdr:from>
      <xdr:col>8</xdr:col>
      <xdr:colOff>500063</xdr:colOff>
      <xdr:row>25</xdr:row>
      <xdr:rowOff>19050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375C009A-DC99-490F-8BD5-2E633929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4829175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28575</xdr:rowOff>
        </xdr:from>
        <xdr:to>
          <xdr:col>3</xdr:col>
          <xdr:colOff>571500</xdr:colOff>
          <xdr:row>22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20</xdr:row>
          <xdr:rowOff>28575</xdr:rowOff>
        </xdr:from>
        <xdr:to>
          <xdr:col>6</xdr:col>
          <xdr:colOff>571500</xdr:colOff>
          <xdr:row>22</xdr:row>
          <xdr:rowOff>161925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428626</xdr:colOff>
      <xdr:row>19</xdr:row>
      <xdr:rowOff>47015</xdr:rowOff>
    </xdr:from>
    <xdr:to>
      <xdr:col>3</xdr:col>
      <xdr:colOff>571500</xdr:colOff>
      <xdr:row>23</xdr:row>
      <xdr:rowOff>27964</xdr:rowOff>
    </xdr:to>
    <xdr:pic>
      <xdr:nvPicPr>
        <xdr:cNvPr id="5" name="CashCheck" hidden="1">
          <a:extLst>
            <a:ext uri="{FF2B5EF4-FFF2-40B4-BE49-F238E27FC236}">
              <a16:creationId xmlns:a16="http://schemas.microsoft.com/office/drawing/2014/main" id="{12DA08B2-4115-27F9-2739-810C8D5D7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6" y="367604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45225</xdr:colOff>
      <xdr:row>19</xdr:row>
      <xdr:rowOff>47625</xdr:rowOff>
    </xdr:from>
    <xdr:to>
      <xdr:col>7</xdr:col>
      <xdr:colOff>23784</xdr:colOff>
      <xdr:row>22</xdr:row>
      <xdr:rowOff>54759</xdr:rowOff>
    </xdr:to>
    <xdr:pic>
      <xdr:nvPicPr>
        <xdr:cNvPr id="7" name="VisaCheck" hidden="1">
          <a:extLst>
            <a:ext uri="{FF2B5EF4-FFF2-40B4-BE49-F238E27FC236}">
              <a16:creationId xmlns:a16="http://schemas.microsoft.com/office/drawing/2014/main" id="{562B3100-2703-F43D-437B-09BE7D5B1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2825" y="3676650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2</xdr:col>
      <xdr:colOff>590550</xdr:colOff>
      <xdr:row>44</xdr:row>
      <xdr:rowOff>0</xdr:rowOff>
    </xdr:from>
    <xdr:to>
      <xdr:col>4</xdr:col>
      <xdr:colOff>123824</xdr:colOff>
      <xdr:row>47</xdr:row>
      <xdr:rowOff>171449</xdr:rowOff>
    </xdr:to>
    <xdr:pic>
      <xdr:nvPicPr>
        <xdr:cNvPr id="8" name="CashCheck_1" hidden="1">
          <a:extLst>
            <a:ext uri="{FF2B5EF4-FFF2-40B4-BE49-F238E27FC236}">
              <a16:creationId xmlns:a16="http://schemas.microsoft.com/office/drawing/2014/main" id="{BC46BB60-5B82-4674-B289-2595AF0EA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842962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188100</xdr:colOff>
      <xdr:row>44</xdr:row>
      <xdr:rowOff>47625</xdr:rowOff>
    </xdr:from>
    <xdr:to>
      <xdr:col>7</xdr:col>
      <xdr:colOff>166659</xdr:colOff>
      <xdr:row>47</xdr:row>
      <xdr:rowOff>54759</xdr:rowOff>
    </xdr:to>
    <xdr:pic>
      <xdr:nvPicPr>
        <xdr:cNvPr id="9" name="VisaCheck_1" hidden="1">
          <a:extLst>
            <a:ext uri="{FF2B5EF4-FFF2-40B4-BE49-F238E27FC236}">
              <a16:creationId xmlns:a16="http://schemas.microsoft.com/office/drawing/2014/main" id="{12032BF7-9B20-4FF1-85EF-C9080BC9E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5700" y="8477250"/>
          <a:ext cx="588159" cy="5881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463324</xdr:colOff>
      <xdr:row>5</xdr:row>
      <xdr:rowOff>21771</xdr:rowOff>
    </xdr:from>
    <xdr:ext cx="734624" cy="485653"/>
    <xdr:pic>
      <xdr:nvPicPr>
        <xdr:cNvPr id="2" name="Picture 1">
          <a:extLst>
            <a:ext uri="{FF2B5EF4-FFF2-40B4-BE49-F238E27FC236}">
              <a16:creationId xmlns:a16="http://schemas.microsoft.com/office/drawing/2014/main" id="{D8776DE2-B8B2-4819-8919-7BFC19E50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974271"/>
          <a:ext cx="734624" cy="485653"/>
        </a:xfrm>
        <a:prstGeom prst="rect">
          <a:avLst/>
        </a:prstGeom>
      </xdr:spPr>
    </xdr:pic>
    <xdr:clientData/>
  </xdr:oneCellAnchor>
  <xdr:oneCellAnchor>
    <xdr:from>
      <xdr:col>5</xdr:col>
      <xdr:colOff>463324</xdr:colOff>
      <xdr:row>25</xdr:row>
      <xdr:rowOff>21771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B8324F6C-4839-493D-B7D9-0F0D5719E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4784271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9525</xdr:rowOff>
        </xdr:from>
        <xdr:to>
          <xdr:col>6</xdr:col>
          <xdr:colOff>28575</xdr:colOff>
          <xdr:row>20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16</xdr:row>
          <xdr:rowOff>200025</xdr:rowOff>
        </xdr:from>
        <xdr:to>
          <xdr:col>2</xdr:col>
          <xdr:colOff>600075</xdr:colOff>
          <xdr:row>20</xdr:row>
          <xdr:rowOff>9525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9525</xdr:colOff>
      <xdr:row>15</xdr:row>
      <xdr:rowOff>161925</xdr:rowOff>
    </xdr:from>
    <xdr:to>
      <xdr:col>3</xdr:col>
      <xdr:colOff>152399</xdr:colOff>
      <xdr:row>20</xdr:row>
      <xdr:rowOff>47624</xdr:rowOff>
    </xdr:to>
    <xdr:pic>
      <xdr:nvPicPr>
        <xdr:cNvPr id="4" name="CashCheck" hidden="1">
          <a:extLst>
            <a:ext uri="{FF2B5EF4-FFF2-40B4-BE49-F238E27FC236}">
              <a16:creationId xmlns:a16="http://schemas.microsoft.com/office/drawing/2014/main" id="{FC0B7DD2-179C-4054-856B-91278E6E4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319087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1</xdr:col>
      <xdr:colOff>600074</xdr:colOff>
      <xdr:row>37</xdr:row>
      <xdr:rowOff>153010</xdr:rowOff>
    </xdr:from>
    <xdr:to>
      <xdr:col>3</xdr:col>
      <xdr:colOff>133348</xdr:colOff>
      <xdr:row>42</xdr:row>
      <xdr:rowOff>29184</xdr:rowOff>
    </xdr:to>
    <xdr:pic>
      <xdr:nvPicPr>
        <xdr:cNvPr id="5" name="CashCheck_1" hidden="1">
          <a:extLst>
            <a:ext uri="{FF2B5EF4-FFF2-40B4-BE49-F238E27FC236}">
              <a16:creationId xmlns:a16="http://schemas.microsoft.com/office/drawing/2014/main" id="{6D14D658-FCD9-404F-9E68-7E58DA96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4" y="718246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16</xdr:row>
      <xdr:rowOff>19050</xdr:rowOff>
    </xdr:from>
    <xdr:to>
      <xdr:col>6</xdr:col>
      <xdr:colOff>369084</xdr:colOff>
      <xdr:row>19</xdr:row>
      <xdr:rowOff>140484</xdr:rowOff>
    </xdr:to>
    <xdr:pic>
      <xdr:nvPicPr>
        <xdr:cNvPr id="6" name="VisaCheck" hidden="1">
          <a:extLst>
            <a:ext uri="{FF2B5EF4-FFF2-40B4-BE49-F238E27FC236}">
              <a16:creationId xmlns:a16="http://schemas.microsoft.com/office/drawing/2014/main" id="{8E1CCE17-65CC-42D4-9719-21ABAFB62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0" y="3248025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38</xdr:row>
      <xdr:rowOff>0</xdr:rowOff>
    </xdr:from>
    <xdr:to>
      <xdr:col>6</xdr:col>
      <xdr:colOff>292884</xdr:colOff>
      <xdr:row>41</xdr:row>
      <xdr:rowOff>111909</xdr:rowOff>
    </xdr:to>
    <xdr:pic>
      <xdr:nvPicPr>
        <xdr:cNvPr id="7" name="VisaCheck_1" hidden="1">
          <a:extLst>
            <a:ext uri="{FF2B5EF4-FFF2-40B4-BE49-F238E27FC236}">
              <a16:creationId xmlns:a16="http://schemas.microsoft.com/office/drawing/2014/main" id="{D7BD975D-D4C0-4E62-9AF3-2A3A95971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229475"/>
          <a:ext cx="588159" cy="5881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56.emf"/><Relationship Id="rId5" Type="http://schemas.openxmlformats.org/officeDocument/2006/relationships/control" Target="../activeX/activeX5.xml"/><Relationship Id="rId4" Type="http://schemas.openxmlformats.org/officeDocument/2006/relationships/image" Target="../media/image5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1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40"/>
  <sheetViews>
    <sheetView topLeftCell="A19" workbookViewId="0">
      <selection activeCell="D22" sqref="D22"/>
    </sheetView>
  </sheetViews>
  <sheetFormatPr defaultRowHeight="15" x14ac:dyDescent="0.25"/>
  <cols>
    <col min="1" max="1" width="9.85546875" bestFit="1" customWidth="1"/>
    <col min="2" max="2" width="16.140625" customWidth="1"/>
    <col min="3" max="3" width="41.5703125" customWidth="1"/>
    <col min="4" max="4" width="12.42578125" customWidth="1"/>
    <col min="6" max="6" width="3.7109375" customWidth="1"/>
    <col min="7" max="7" width="9" style="47" customWidth="1"/>
    <col min="8" max="8" width="9.140625" style="47"/>
  </cols>
  <sheetData>
    <row r="1" spans="1:49" ht="25.5" customHeight="1" x14ac:dyDescent="0.25">
      <c r="A1" s="81"/>
      <c r="B1" s="79"/>
      <c r="C1" s="80"/>
      <c r="D1" s="5"/>
      <c r="E1" s="5"/>
      <c r="F1" s="5"/>
      <c r="G1" s="75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1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</row>
    <row r="2" spans="1:49" ht="18" customHeight="1" x14ac:dyDescent="0.25">
      <c r="A2" s="81"/>
      <c r="B2" s="80"/>
      <c r="C2" s="80"/>
      <c r="D2" s="45" t="s">
        <v>71</v>
      </c>
      <c r="E2" s="76">
        <v>12345</v>
      </c>
      <c r="F2" s="5"/>
      <c r="G2" s="75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3">
        <v>2</v>
      </c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</row>
    <row r="3" spans="1:49" ht="19.5" customHeight="1" x14ac:dyDescent="0.25">
      <c r="A3" s="2"/>
      <c r="B3" s="2"/>
      <c r="C3" s="50" t="s">
        <v>73</v>
      </c>
      <c r="D3" s="2"/>
      <c r="E3" s="2"/>
      <c r="F3" s="2"/>
      <c r="G3" s="75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3">
        <v>17</v>
      </c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</row>
    <row r="4" spans="1:49" ht="16.5" customHeight="1" x14ac:dyDescent="0.25">
      <c r="A4" s="78"/>
      <c r="B4" s="4"/>
      <c r="C4" s="46" t="s">
        <v>8</v>
      </c>
      <c r="D4" s="4"/>
      <c r="E4" s="2"/>
      <c r="F4" s="2"/>
      <c r="G4" s="75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3">
        <v>12345</v>
      </c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</row>
    <row r="5" spans="1:49" ht="18" customHeight="1" x14ac:dyDescent="0.25">
      <c r="A5" s="78"/>
      <c r="B5" s="32" t="s">
        <v>0</v>
      </c>
      <c r="C5" s="33" t="s">
        <v>36</v>
      </c>
      <c r="D5" s="30"/>
      <c r="E5" s="2"/>
      <c r="F5" s="2"/>
      <c r="G5" s="75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3" t="s">
        <v>81</v>
      </c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</row>
    <row r="6" spans="1:49" ht="15.75" customHeight="1" x14ac:dyDescent="0.25">
      <c r="A6" s="78"/>
      <c r="B6" s="32" t="s">
        <v>2</v>
      </c>
      <c r="C6" s="34" t="s">
        <v>37</v>
      </c>
      <c r="D6" s="30"/>
      <c r="E6" s="2"/>
      <c r="F6" s="2"/>
      <c r="G6" s="75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</row>
    <row r="7" spans="1:49" ht="15.75" customHeight="1" x14ac:dyDescent="0.25">
      <c r="A7" s="78"/>
      <c r="B7" s="32" t="s">
        <v>4</v>
      </c>
      <c r="C7" s="34" t="s">
        <v>38</v>
      </c>
      <c r="D7" s="30"/>
      <c r="E7" s="2"/>
      <c r="F7" s="2"/>
      <c r="G7" s="75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</row>
    <row r="8" spans="1:49" ht="17.25" customHeight="1" x14ac:dyDescent="0.25">
      <c r="A8" s="78"/>
      <c r="B8" s="32" t="s">
        <v>5</v>
      </c>
      <c r="C8" s="35" t="s">
        <v>39</v>
      </c>
      <c r="D8" s="30"/>
      <c r="E8" s="2"/>
      <c r="F8" s="2"/>
      <c r="G8" s="75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</row>
    <row r="9" spans="1:49" ht="16.5" customHeight="1" x14ac:dyDescent="0.25">
      <c r="A9" s="78"/>
      <c r="B9" s="32" t="s">
        <v>6</v>
      </c>
      <c r="C9" s="36" t="s">
        <v>40</v>
      </c>
      <c r="D9" s="30"/>
      <c r="E9" s="2"/>
      <c r="F9" s="2"/>
      <c r="G9" s="75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</row>
    <row r="10" spans="1:49" ht="15.75" customHeight="1" x14ac:dyDescent="0.25">
      <c r="A10" s="78"/>
      <c r="B10" s="32" t="s">
        <v>7</v>
      </c>
      <c r="C10" s="36" t="s">
        <v>41</v>
      </c>
      <c r="D10" s="30"/>
      <c r="E10" s="2"/>
      <c r="F10" s="2"/>
      <c r="G10" s="75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</row>
    <row r="11" spans="1:49" x14ac:dyDescent="0.25">
      <c r="A11" s="78"/>
      <c r="B11" s="30"/>
      <c r="C11" s="31"/>
      <c r="D11" s="30"/>
      <c r="E11" s="2"/>
      <c r="F11" s="2"/>
      <c r="G11" s="75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</row>
    <row r="12" spans="1:49" x14ac:dyDescent="0.25">
      <c r="A12" s="78"/>
      <c r="B12" s="2"/>
      <c r="C12" s="2"/>
      <c r="D12" s="2"/>
      <c r="E12" s="2"/>
      <c r="F12" s="2"/>
      <c r="G12" s="75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</row>
    <row r="13" spans="1:49" ht="35.25" customHeight="1" x14ac:dyDescent="0.25">
      <c r="A13" s="75"/>
      <c r="B13" s="75"/>
      <c r="C13" s="75"/>
      <c r="D13" s="75"/>
      <c r="E13" s="75"/>
      <c r="F13" s="75"/>
      <c r="G13" s="75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</row>
    <row r="14" spans="1:49" ht="19.5" customHeight="1" x14ac:dyDescent="0.3">
      <c r="A14" s="48" t="s">
        <v>9</v>
      </c>
      <c r="B14" s="4"/>
      <c r="C14" s="77" t="s">
        <v>72</v>
      </c>
      <c r="D14" s="4"/>
      <c r="E14" s="4"/>
      <c r="F14" s="4"/>
      <c r="G14" s="75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</row>
    <row r="15" spans="1:49" ht="15.75" x14ac:dyDescent="0.25">
      <c r="A15" s="29" t="s">
        <v>2</v>
      </c>
      <c r="B15" s="67" t="s">
        <v>16</v>
      </c>
      <c r="C15" s="68" t="s">
        <v>74</v>
      </c>
      <c r="D15" s="69" t="s">
        <v>75</v>
      </c>
      <c r="E15" s="4"/>
      <c r="F15" s="4"/>
      <c r="G15" s="75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</row>
    <row r="16" spans="1:49" ht="60.75" customHeight="1" x14ac:dyDescent="0.25">
      <c r="A16" s="29" t="s">
        <v>10</v>
      </c>
      <c r="B16" s="70"/>
      <c r="C16" s="71"/>
      <c r="D16" s="70"/>
      <c r="E16" s="4"/>
      <c r="F16" s="4"/>
      <c r="G16" s="75"/>
      <c r="H16" s="44"/>
      <c r="I16" s="51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</row>
    <row r="17" spans="1:49" ht="69.75" customHeight="1" x14ac:dyDescent="0.25">
      <c r="A17" s="29" t="s">
        <v>11</v>
      </c>
      <c r="B17" s="70"/>
      <c r="C17" s="70"/>
      <c r="D17" s="70"/>
      <c r="E17" s="4"/>
      <c r="F17" s="4"/>
      <c r="G17" s="75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</row>
    <row r="18" spans="1:49" ht="15.75" x14ac:dyDescent="0.25">
      <c r="A18" s="29" t="s">
        <v>12</v>
      </c>
      <c r="B18" s="74">
        <v>120</v>
      </c>
      <c r="C18" s="74">
        <v>240</v>
      </c>
      <c r="D18" s="74">
        <v>360</v>
      </c>
      <c r="E18" s="4"/>
      <c r="F18" s="4"/>
      <c r="G18" s="75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</row>
    <row r="19" spans="1:49" ht="15.75" x14ac:dyDescent="0.25">
      <c r="A19" s="6"/>
      <c r="B19" s="73"/>
      <c r="C19" s="73"/>
      <c r="D19" s="73"/>
      <c r="E19" s="4"/>
      <c r="F19" s="4"/>
      <c r="G19" s="75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</row>
    <row r="20" spans="1:49" ht="15.75" x14ac:dyDescent="0.25">
      <c r="A20" s="29" t="s">
        <v>2</v>
      </c>
      <c r="B20" s="72" t="s">
        <v>17</v>
      </c>
      <c r="C20" s="68" t="s">
        <v>74</v>
      </c>
      <c r="D20" s="69" t="s">
        <v>75</v>
      </c>
      <c r="E20" s="4"/>
      <c r="F20" s="4"/>
      <c r="G20" s="75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</row>
    <row r="21" spans="1:49" ht="70.5" customHeight="1" x14ac:dyDescent="0.25">
      <c r="A21" s="29" t="s">
        <v>10</v>
      </c>
      <c r="B21" s="70"/>
      <c r="C21" s="70"/>
      <c r="D21" s="70"/>
      <c r="E21" s="4"/>
      <c r="F21" s="4"/>
      <c r="G21" s="75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</row>
    <row r="22" spans="1:49" ht="74.25" customHeight="1" x14ac:dyDescent="0.25">
      <c r="A22" s="29" t="s">
        <v>11</v>
      </c>
      <c r="B22" s="70"/>
      <c r="C22" s="70"/>
      <c r="D22" s="70"/>
      <c r="E22" s="4"/>
      <c r="F22" s="4"/>
      <c r="G22" s="75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</row>
    <row r="23" spans="1:49" ht="15.75" x14ac:dyDescent="0.25">
      <c r="A23" s="29" t="s">
        <v>12</v>
      </c>
      <c r="B23" s="74">
        <v>75</v>
      </c>
      <c r="C23" s="74">
        <v>150</v>
      </c>
      <c r="D23" s="74">
        <v>225</v>
      </c>
      <c r="E23" s="4"/>
      <c r="F23" s="4"/>
      <c r="G23" s="75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</row>
    <row r="24" spans="1:49" ht="15.75" x14ac:dyDescent="0.25">
      <c r="A24" s="6"/>
      <c r="B24" s="73"/>
      <c r="C24" s="73"/>
      <c r="D24" s="73"/>
      <c r="E24" s="4"/>
      <c r="F24" s="4"/>
      <c r="G24" s="75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</row>
    <row r="25" spans="1:49" ht="15.75" x14ac:dyDescent="0.25">
      <c r="A25" s="29" t="s">
        <v>2</v>
      </c>
      <c r="B25" s="72" t="s">
        <v>18</v>
      </c>
      <c r="C25" s="68" t="s">
        <v>74</v>
      </c>
      <c r="D25" s="69" t="s">
        <v>75</v>
      </c>
      <c r="E25" s="4"/>
      <c r="F25" s="4"/>
      <c r="G25" s="75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</row>
    <row r="26" spans="1:49" ht="59.25" customHeight="1" x14ac:dyDescent="0.25">
      <c r="A26" s="29" t="s">
        <v>10</v>
      </c>
      <c r="B26" s="70"/>
      <c r="C26" s="70"/>
      <c r="D26" s="70"/>
      <c r="E26" s="4"/>
      <c r="F26" s="4"/>
      <c r="G26" s="75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</row>
    <row r="27" spans="1:49" ht="74.25" customHeight="1" x14ac:dyDescent="0.25">
      <c r="A27" s="29" t="s">
        <v>11</v>
      </c>
      <c r="B27" s="70"/>
      <c r="C27" s="70"/>
      <c r="D27" s="70"/>
      <c r="E27" s="4"/>
      <c r="F27" s="4"/>
      <c r="G27" s="75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</row>
    <row r="28" spans="1:49" ht="19.5" customHeight="1" x14ac:dyDescent="0.25">
      <c r="A28" s="29" t="s">
        <v>12</v>
      </c>
      <c r="B28" s="74">
        <v>195</v>
      </c>
      <c r="C28" s="74">
        <v>390</v>
      </c>
      <c r="D28" s="74">
        <v>585</v>
      </c>
      <c r="E28" s="4"/>
      <c r="F28" s="4"/>
      <c r="G28" s="75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</row>
    <row r="29" spans="1:49" ht="15.75" x14ac:dyDescent="0.25">
      <c r="A29" s="7"/>
      <c r="B29" s="4"/>
      <c r="C29" s="4"/>
      <c r="D29" s="4"/>
      <c r="E29" s="4"/>
      <c r="F29" s="4"/>
      <c r="G29" s="75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</row>
    <row r="30" spans="1:49" x14ac:dyDescent="0.25">
      <c r="A30" s="75"/>
      <c r="B30" s="75"/>
      <c r="C30" s="75"/>
      <c r="D30" s="75"/>
      <c r="E30" s="75"/>
      <c r="F30" s="75"/>
      <c r="G30" s="75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</row>
    <row r="31" spans="1:49" x14ac:dyDescent="0.25">
      <c r="A31" s="75"/>
      <c r="B31" s="75"/>
      <c r="C31" s="75"/>
      <c r="D31" s="75"/>
      <c r="E31" s="75"/>
      <c r="F31" s="75"/>
      <c r="G31" s="75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</row>
    <row r="32" spans="1:49" x14ac:dyDescent="0.25">
      <c r="A32" s="75"/>
      <c r="B32" s="75"/>
      <c r="C32" s="75"/>
      <c r="D32" s="75"/>
      <c r="E32" s="75"/>
      <c r="F32" s="75"/>
      <c r="G32" s="75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</row>
    <row r="33" spans="1:49" x14ac:dyDescent="0.25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</row>
    <row r="34" spans="1:49" x14ac:dyDescent="0.25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</row>
    <row r="35" spans="1:49" x14ac:dyDescent="0.25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</row>
    <row r="36" spans="1:49" x14ac:dyDescent="0.25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</row>
    <row r="37" spans="1:49" x14ac:dyDescent="0.25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</row>
    <row r="38" spans="1:49" x14ac:dyDescent="0.25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</row>
    <row r="39" spans="1:49" x14ac:dyDescent="0.25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</row>
    <row r="40" spans="1:49" x14ac:dyDescent="0.25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</row>
    <row r="41" spans="1:49" x14ac:dyDescent="0.25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</row>
    <row r="42" spans="1:49" x14ac:dyDescent="0.25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</row>
    <row r="43" spans="1:49" x14ac:dyDescent="0.25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</row>
    <row r="44" spans="1:49" x14ac:dyDescent="0.25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</row>
    <row r="45" spans="1:49" x14ac:dyDescent="0.25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</row>
    <row r="46" spans="1:49" x14ac:dyDescent="0.25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</row>
    <row r="47" spans="1:49" x14ac:dyDescent="0.25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</row>
    <row r="48" spans="1:49" x14ac:dyDescent="0.25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</row>
    <row r="49" spans="1:33" x14ac:dyDescent="0.25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</row>
    <row r="50" spans="1:33" x14ac:dyDescent="0.25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</row>
    <row r="51" spans="1:33" x14ac:dyDescent="0.25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</row>
    <row r="52" spans="1:33" x14ac:dyDescent="0.25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</row>
    <row r="53" spans="1:33" x14ac:dyDescent="0.25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</row>
    <row r="54" spans="1:33" x14ac:dyDescent="0.25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</row>
    <row r="55" spans="1:33" x14ac:dyDescent="0.25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</row>
    <row r="56" spans="1:33" x14ac:dyDescent="0.25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</row>
    <row r="57" spans="1:33" x14ac:dyDescent="0.25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</row>
    <row r="58" spans="1:33" x14ac:dyDescent="0.25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</row>
    <row r="59" spans="1:33" x14ac:dyDescent="0.25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</row>
    <row r="60" spans="1:33" x14ac:dyDescent="0.25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</row>
    <row r="61" spans="1:33" x14ac:dyDescent="0.25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</row>
    <row r="62" spans="1:33" x14ac:dyDescent="0.25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</row>
    <row r="63" spans="1:33" x14ac:dyDescent="0.25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</row>
    <row r="64" spans="1:33" x14ac:dyDescent="0.25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</row>
    <row r="65" spans="1:33" x14ac:dyDescent="0.25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</row>
    <row r="66" spans="1:33" x14ac:dyDescent="0.25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</row>
    <row r="67" spans="1:33" x14ac:dyDescent="0.25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</row>
    <row r="68" spans="1:33" x14ac:dyDescent="0.25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</row>
    <row r="69" spans="1:33" x14ac:dyDescent="0.25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</row>
    <row r="70" spans="1:33" x14ac:dyDescent="0.25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</row>
    <row r="71" spans="1:33" x14ac:dyDescent="0.25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</row>
    <row r="72" spans="1:33" x14ac:dyDescent="0.25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</row>
    <row r="73" spans="1:33" x14ac:dyDescent="0.25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</row>
    <row r="74" spans="1:33" x14ac:dyDescent="0.25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</row>
    <row r="75" spans="1:33" x14ac:dyDescent="0.25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</row>
    <row r="76" spans="1:33" x14ac:dyDescent="0.25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</row>
    <row r="77" spans="1:33" x14ac:dyDescent="0.25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</row>
    <row r="78" spans="1:33" x14ac:dyDescent="0.25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</row>
    <row r="79" spans="1:33" x14ac:dyDescent="0.25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</row>
    <row r="80" spans="1:33" x14ac:dyDescent="0.25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</row>
    <row r="81" spans="1:33" x14ac:dyDescent="0.25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</row>
    <row r="82" spans="1:33" x14ac:dyDescent="0.25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</row>
    <row r="83" spans="1:33" x14ac:dyDescent="0.25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</row>
    <row r="84" spans="1:33" x14ac:dyDescent="0.25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</row>
    <row r="85" spans="1:33" x14ac:dyDescent="0.25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</row>
    <row r="86" spans="1:33" x14ac:dyDescent="0.25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</row>
    <row r="87" spans="1:33" x14ac:dyDescent="0.25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</row>
    <row r="88" spans="1:33" x14ac:dyDescent="0.25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</row>
    <row r="89" spans="1:33" x14ac:dyDescent="0.25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</row>
    <row r="90" spans="1:33" x14ac:dyDescent="0.25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</row>
    <row r="91" spans="1:33" x14ac:dyDescent="0.25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</row>
    <row r="92" spans="1:33" x14ac:dyDescent="0.25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</row>
    <row r="93" spans="1:33" x14ac:dyDescent="0.25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</row>
    <row r="94" spans="1:33" x14ac:dyDescent="0.25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</row>
    <row r="95" spans="1:33" x14ac:dyDescent="0.25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</row>
    <row r="96" spans="1:33" x14ac:dyDescent="0.25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</row>
    <row r="97" spans="1:33" x14ac:dyDescent="0.25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</row>
    <row r="98" spans="1:33" x14ac:dyDescent="0.25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</row>
    <row r="99" spans="1:33" x14ac:dyDescent="0.25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</row>
    <row r="100" spans="1:33" x14ac:dyDescent="0.25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</row>
    <row r="101" spans="1:33" x14ac:dyDescent="0.25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</row>
    <row r="102" spans="1:33" x14ac:dyDescent="0.25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</row>
    <row r="103" spans="1:33" x14ac:dyDescent="0.25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</row>
    <row r="104" spans="1:33" x14ac:dyDescent="0.25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</row>
    <row r="105" spans="1:33" x14ac:dyDescent="0.25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</row>
    <row r="106" spans="1:33" x14ac:dyDescent="0.25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</row>
    <row r="107" spans="1:33" x14ac:dyDescent="0.25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</row>
    <row r="108" spans="1:33" x14ac:dyDescent="0.25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</row>
    <row r="109" spans="1:33" x14ac:dyDescent="0.25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</row>
    <row r="110" spans="1:33" x14ac:dyDescent="0.25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</row>
    <row r="111" spans="1:33" x14ac:dyDescent="0.25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</row>
    <row r="112" spans="1:33" x14ac:dyDescent="0.25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</row>
    <row r="113" spans="1:33" x14ac:dyDescent="0.25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</row>
    <row r="114" spans="1:33" x14ac:dyDescent="0.25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</row>
    <row r="115" spans="1:33" x14ac:dyDescent="0.25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</row>
    <row r="116" spans="1:33" x14ac:dyDescent="0.25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</row>
    <row r="117" spans="1:33" x14ac:dyDescent="0.25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</row>
    <row r="118" spans="1:33" x14ac:dyDescent="0.25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</row>
    <row r="119" spans="1:33" x14ac:dyDescent="0.25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</row>
    <row r="120" spans="1:33" x14ac:dyDescent="0.25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</row>
    <row r="121" spans="1:33" x14ac:dyDescent="0.25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</row>
    <row r="122" spans="1:33" x14ac:dyDescent="0.25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</row>
    <row r="123" spans="1:33" x14ac:dyDescent="0.25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</row>
    <row r="124" spans="1:33" x14ac:dyDescent="0.25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</row>
    <row r="125" spans="1:33" x14ac:dyDescent="0.25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</row>
    <row r="126" spans="1:33" x14ac:dyDescent="0.25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</row>
    <row r="127" spans="1:33" x14ac:dyDescent="0.25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</row>
    <row r="128" spans="1:33" x14ac:dyDescent="0.25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</row>
    <row r="129" spans="1:33" x14ac:dyDescent="0.25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</row>
    <row r="130" spans="1:33" x14ac:dyDescent="0.25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</row>
    <row r="131" spans="1:33" x14ac:dyDescent="0.25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</row>
    <row r="132" spans="1:33" x14ac:dyDescent="0.25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</row>
    <row r="133" spans="1:33" x14ac:dyDescent="0.25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</row>
    <row r="134" spans="1:33" x14ac:dyDescent="0.25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</row>
    <row r="135" spans="1:33" x14ac:dyDescent="0.25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</row>
    <row r="136" spans="1:33" x14ac:dyDescent="0.25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</row>
    <row r="137" spans="1:33" x14ac:dyDescent="0.25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</row>
    <row r="138" spans="1:33" x14ac:dyDescent="0.25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</row>
    <row r="139" spans="1:33" x14ac:dyDescent="0.25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</row>
    <row r="140" spans="1:33" x14ac:dyDescent="0.25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</row>
  </sheetData>
  <mergeCells count="3">
    <mergeCell ref="A4:A12"/>
    <mergeCell ref="B1:C2"/>
    <mergeCell ref="A1:A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3" r:id="rId4" name="TextBox1">
          <controlPr defaultSize="0" autoLine="0" r:id="rId5">
            <anchor moveWithCells="1">
              <from>
                <xdr:col>4</xdr:col>
                <xdr:colOff>76200</xdr:colOff>
                <xdr:row>15</xdr:row>
                <xdr:rowOff>295275</xdr:rowOff>
              </from>
              <to>
                <xdr:col>5</xdr:col>
                <xdr:colOff>133350</xdr:colOff>
                <xdr:row>15</xdr:row>
                <xdr:rowOff>523875</xdr:rowOff>
              </to>
            </anchor>
          </controlPr>
        </control>
      </mc:Choice>
      <mc:Fallback>
        <control shapeId="1043" r:id="rId4" name="TextBox1"/>
      </mc:Fallback>
    </mc:AlternateContent>
    <mc:AlternateContent xmlns:mc="http://schemas.openxmlformats.org/markup-compatibility/2006">
      <mc:Choice Requires="x14">
        <control shapeId="1050" r:id="rId6" name="TextBox2">
          <controlPr defaultSize="0" autoLine="0" autoPict="0" r:id="rId7">
            <anchor moveWithCells="1">
              <from>
                <xdr:col>4</xdr:col>
                <xdr:colOff>66675</xdr:colOff>
                <xdr:row>20</xdr:row>
                <xdr:rowOff>285750</xdr:rowOff>
              </from>
              <to>
                <xdr:col>5</xdr:col>
                <xdr:colOff>152400</xdr:colOff>
                <xdr:row>20</xdr:row>
                <xdr:rowOff>542925</xdr:rowOff>
              </to>
            </anchor>
          </controlPr>
        </control>
      </mc:Choice>
      <mc:Fallback>
        <control shapeId="1050" r:id="rId6" name="TextBox2"/>
      </mc:Fallback>
    </mc:AlternateContent>
    <mc:AlternateContent xmlns:mc="http://schemas.openxmlformats.org/markup-compatibility/2006">
      <mc:Choice Requires="x14">
        <control shapeId="1051" r:id="rId8" name="TextBox3">
          <controlPr defaultSize="0" autoLine="0" r:id="rId9">
            <anchor moveWithCells="1">
              <from>
                <xdr:col>4</xdr:col>
                <xdr:colOff>66675</xdr:colOff>
                <xdr:row>25</xdr:row>
                <xdr:rowOff>285750</xdr:rowOff>
              </from>
              <to>
                <xdr:col>5</xdr:col>
                <xdr:colOff>161925</xdr:colOff>
                <xdr:row>25</xdr:row>
                <xdr:rowOff>542925</xdr:rowOff>
              </to>
            </anchor>
          </controlPr>
        </control>
      </mc:Choice>
      <mc:Fallback>
        <control shapeId="1051" r:id="rId8" name="TextBox3"/>
      </mc:Fallback>
    </mc:AlternateContent>
    <mc:AlternateContent xmlns:mc="http://schemas.openxmlformats.org/markup-compatibility/2006">
      <mc:Choice Requires="x14">
        <control shapeId="1033" r:id="rId10" name="Drop Down 9">
          <controlPr defaultSize="0" autoLine="0" autoPict="0" macro="[0]!DropDown9_Selected">
            <anchor moveWithCells="1">
              <from>
                <xdr:col>3</xdr:col>
                <xdr:colOff>9525</xdr:colOff>
                <xdr:row>13</xdr:row>
                <xdr:rowOff>28575</xdr:rowOff>
              </from>
              <to>
                <xdr:col>5</xdr:col>
                <xdr:colOff>47625</xdr:colOff>
                <xdr:row>13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1" name="Drop Down 12">
          <controlPr defaultSize="0" autoLine="0" autoPict="0" macro="[0]!Cmb_Company">
            <anchor moveWithCells="1">
              <from>
                <xdr:col>3</xdr:col>
                <xdr:colOff>47625</xdr:colOff>
                <xdr:row>2</xdr:row>
                <xdr:rowOff>19050</xdr:rowOff>
              </from>
              <to>
                <xdr:col>5</xdr:col>
                <xdr:colOff>0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B6F5-A65D-44E1-9E16-298D62967AB6}">
  <sheetPr codeName="Sheet5"/>
  <dimension ref="A1:BQ38"/>
  <sheetViews>
    <sheetView workbookViewId="0">
      <selection activeCell="A8" sqref="A8"/>
    </sheetView>
  </sheetViews>
  <sheetFormatPr defaultRowHeight="15" x14ac:dyDescent="0.25"/>
  <cols>
    <col min="1" max="1" width="15.28515625" style="1" customWidth="1"/>
    <col min="2" max="2" width="13" style="1" customWidth="1"/>
    <col min="3" max="3" width="14.5703125" style="1" customWidth="1"/>
    <col min="4" max="4" width="13.7109375" style="1" customWidth="1"/>
    <col min="5" max="5" width="11.5703125" style="1" customWidth="1"/>
    <col min="6" max="6" width="12.5703125" style="1" customWidth="1"/>
    <col min="7" max="7" width="9.7109375" customWidth="1"/>
    <col min="8" max="9" width="6.5703125" customWidth="1"/>
    <col min="10" max="10" width="7.140625" customWidth="1"/>
    <col min="11" max="11" width="0.7109375" customWidth="1"/>
    <col min="12" max="12" width="8.7109375" customWidth="1"/>
    <col min="15" max="15" width="0.5703125" customWidth="1"/>
    <col min="19" max="19" width="0.85546875" customWidth="1"/>
    <col min="23" max="23" width="0.85546875" customWidth="1"/>
    <col min="27" max="27" width="0.85546875" customWidth="1"/>
    <col min="31" max="31" width="0.85546875" customWidth="1"/>
    <col min="35" max="35" width="0.85546875" customWidth="1"/>
    <col min="39" max="39" width="0.7109375" customWidth="1"/>
    <col min="43" max="43" width="0.7109375" customWidth="1"/>
    <col min="47" max="47" width="0.7109375" customWidth="1"/>
    <col min="50" max="50" width="9.42578125" customWidth="1"/>
    <col min="51" max="51" width="0.7109375" customWidth="1"/>
    <col min="55" max="55" width="0.7109375" customWidth="1"/>
    <col min="59" max="59" width="2" customWidth="1"/>
    <col min="61" max="61" width="1.7109375" style="16" customWidth="1"/>
    <col min="65" max="65" width="1.7109375" style="16" customWidth="1"/>
  </cols>
  <sheetData>
    <row r="1" spans="1:69" x14ac:dyDescent="0.25">
      <c r="G1" s="9" t="s">
        <v>13</v>
      </c>
      <c r="H1" t="s">
        <v>14</v>
      </c>
      <c r="AN1" t="s">
        <v>15</v>
      </c>
    </row>
    <row r="2" spans="1:69" s="8" customFormat="1" ht="24" customHeight="1" x14ac:dyDescent="0.25">
      <c r="H2" s="82" t="s">
        <v>16</v>
      </c>
      <c r="I2" s="83"/>
      <c r="J2" s="83"/>
      <c r="L2" s="83" t="s">
        <v>17</v>
      </c>
      <c r="M2" s="83"/>
      <c r="N2" s="83"/>
      <c r="P2" s="83" t="s">
        <v>18</v>
      </c>
      <c r="Q2" s="83"/>
      <c r="R2" s="83"/>
      <c r="T2" s="83" t="s">
        <v>19</v>
      </c>
      <c r="U2" s="83"/>
      <c r="V2" s="83"/>
      <c r="X2" s="83" t="s">
        <v>20</v>
      </c>
      <c r="Y2" s="83"/>
      <c r="Z2" s="83"/>
      <c r="AB2" s="83" t="s">
        <v>21</v>
      </c>
      <c r="AC2" s="83"/>
      <c r="AD2" s="83"/>
      <c r="AF2" s="83" t="s">
        <v>22</v>
      </c>
      <c r="AG2" s="83"/>
      <c r="AH2" s="83"/>
      <c r="AJ2" s="83" t="s">
        <v>23</v>
      </c>
      <c r="AK2" s="83"/>
      <c r="AL2" s="83"/>
      <c r="AN2" s="83" t="s">
        <v>24</v>
      </c>
      <c r="AO2" s="83"/>
      <c r="AP2" s="83"/>
      <c r="AR2" s="83" t="s">
        <v>25</v>
      </c>
      <c r="AS2" s="83"/>
      <c r="AT2" s="83"/>
      <c r="AV2" s="85"/>
      <c r="AW2" s="85"/>
      <c r="AX2" s="85"/>
      <c r="AZ2" s="85"/>
      <c r="BA2" s="85"/>
      <c r="BB2" s="85"/>
      <c r="BD2" s="85"/>
      <c r="BE2" s="85"/>
      <c r="BF2" s="85"/>
      <c r="BH2" s="15" t="s">
        <v>26</v>
      </c>
      <c r="BI2" s="16"/>
      <c r="BJ2" s="84" t="s">
        <v>27</v>
      </c>
      <c r="BK2" s="84"/>
      <c r="BL2" s="84"/>
      <c r="BM2" s="16"/>
      <c r="BN2" s="84" t="s">
        <v>28</v>
      </c>
      <c r="BO2" s="84"/>
      <c r="BP2" s="84"/>
      <c r="BQ2"/>
    </row>
    <row r="3" spans="1:69" s="13" customFormat="1" ht="26.45" customHeight="1" x14ac:dyDescent="0.25">
      <c r="A3" s="28" t="s">
        <v>0</v>
      </c>
      <c r="B3" s="28" t="s">
        <v>2</v>
      </c>
      <c r="C3" s="28" t="s">
        <v>4</v>
      </c>
      <c r="D3" s="28" t="s">
        <v>5</v>
      </c>
      <c r="E3" s="28" t="s">
        <v>6</v>
      </c>
      <c r="F3" s="28" t="s">
        <v>7</v>
      </c>
      <c r="G3" s="12" t="s">
        <v>29</v>
      </c>
      <c r="H3" s="13" t="s">
        <v>30</v>
      </c>
      <c r="I3" s="13" t="s">
        <v>31</v>
      </c>
      <c r="J3" s="13" t="s">
        <v>32</v>
      </c>
      <c r="L3" s="13" t="s">
        <v>30</v>
      </c>
      <c r="M3" s="13" t="s">
        <v>31</v>
      </c>
      <c r="N3" s="13" t="s">
        <v>32</v>
      </c>
      <c r="P3" s="13" t="s">
        <v>30</v>
      </c>
      <c r="Q3" s="13" t="s">
        <v>31</v>
      </c>
      <c r="R3" s="13" t="s">
        <v>32</v>
      </c>
      <c r="T3" s="13" t="s">
        <v>30</v>
      </c>
      <c r="U3" s="13" t="s">
        <v>31</v>
      </c>
      <c r="V3" s="13" t="s">
        <v>32</v>
      </c>
      <c r="X3" s="13" t="s">
        <v>30</v>
      </c>
      <c r="Y3" s="13" t="s">
        <v>31</v>
      </c>
      <c r="Z3" s="13" t="s">
        <v>32</v>
      </c>
      <c r="AB3" s="13" t="s">
        <v>30</v>
      </c>
      <c r="AC3" s="13" t="s">
        <v>31</v>
      </c>
      <c r="AD3" s="13" t="s">
        <v>32</v>
      </c>
      <c r="AF3" s="13" t="s">
        <v>33</v>
      </c>
      <c r="AG3" s="13" t="s">
        <v>34</v>
      </c>
      <c r="AH3" s="13" t="s">
        <v>35</v>
      </c>
      <c r="AJ3" s="13" t="s">
        <v>33</v>
      </c>
      <c r="AK3" s="13" t="s">
        <v>34</v>
      </c>
      <c r="AL3" s="13" t="s">
        <v>35</v>
      </c>
      <c r="AN3" s="13" t="s">
        <v>30</v>
      </c>
      <c r="AO3" s="13" t="s">
        <v>31</v>
      </c>
      <c r="AP3" s="13" t="s">
        <v>32</v>
      </c>
      <c r="AR3" s="13" t="s">
        <v>30</v>
      </c>
      <c r="AS3" s="13" t="s">
        <v>31</v>
      </c>
      <c r="AT3" s="13" t="s">
        <v>32</v>
      </c>
      <c r="AV3" s="13" t="s">
        <v>30</v>
      </c>
      <c r="AW3" s="13" t="s">
        <v>31</v>
      </c>
      <c r="AX3" s="13" t="s">
        <v>32</v>
      </c>
      <c r="AZ3" s="13" t="s">
        <v>30</v>
      </c>
      <c r="BA3" s="13" t="s">
        <v>31</v>
      </c>
      <c r="BB3" s="13" t="s">
        <v>32</v>
      </c>
      <c r="BD3" s="13" t="s">
        <v>30</v>
      </c>
      <c r="BE3" s="13" t="s">
        <v>31</v>
      </c>
      <c r="BF3" s="13" t="s">
        <v>32</v>
      </c>
      <c r="BG3"/>
      <c r="BH3" s="8"/>
      <c r="BI3" s="17"/>
      <c r="BJ3" s="8" t="s">
        <v>30</v>
      </c>
      <c r="BK3" s="8" t="s">
        <v>31</v>
      </c>
      <c r="BL3" s="8" t="s">
        <v>32</v>
      </c>
      <c r="BM3" s="17"/>
      <c r="BN3" s="8" t="s">
        <v>30</v>
      </c>
      <c r="BO3" s="8" t="s">
        <v>31</v>
      </c>
      <c r="BP3" s="8" t="s">
        <v>32</v>
      </c>
      <c r="BQ3" s="8"/>
    </row>
    <row r="4" spans="1:69" s="23" customFormat="1" x14ac:dyDescent="0.25">
      <c r="A4" s="1" t="s">
        <v>1</v>
      </c>
      <c r="B4" s="1" t="s">
        <v>3</v>
      </c>
      <c r="C4" s="1"/>
      <c r="D4" s="1"/>
      <c r="E4" s="1"/>
      <c r="F4" s="1"/>
      <c r="G4" s="24"/>
      <c r="H4" s="25">
        <v>120</v>
      </c>
      <c r="I4" s="25">
        <v>240</v>
      </c>
      <c r="J4" s="25">
        <v>360</v>
      </c>
      <c r="L4" s="23">
        <v>75</v>
      </c>
      <c r="M4" s="23">
        <v>150</v>
      </c>
      <c r="N4" s="23">
        <v>225</v>
      </c>
      <c r="P4" s="23">
        <f t="shared" ref="P4:R6" si="0">H4+L4</f>
        <v>195</v>
      </c>
      <c r="Q4" s="23">
        <f t="shared" si="0"/>
        <v>390</v>
      </c>
      <c r="R4" s="23">
        <f t="shared" si="0"/>
        <v>585</v>
      </c>
      <c r="T4" s="23">
        <v>135</v>
      </c>
      <c r="U4" s="23">
        <f>T4*2</f>
        <v>270</v>
      </c>
      <c r="V4" s="23">
        <f>T4*3</f>
        <v>405</v>
      </c>
      <c r="X4" s="23">
        <v>125</v>
      </c>
      <c r="Y4" s="23">
        <f>X4*2</f>
        <v>250</v>
      </c>
      <c r="Z4" s="23">
        <f>X4*3</f>
        <v>375</v>
      </c>
      <c r="AB4" s="23">
        <v>75</v>
      </c>
      <c r="AC4" s="23">
        <f>AB4*2</f>
        <v>150</v>
      </c>
      <c r="AD4" s="23">
        <f>AB4*3</f>
        <v>225</v>
      </c>
      <c r="AF4" s="23">
        <v>75</v>
      </c>
      <c r="AG4" s="23">
        <f>AF4*2</f>
        <v>150</v>
      </c>
      <c r="AH4" s="23">
        <f>AF4*3</f>
        <v>225</v>
      </c>
      <c r="AJ4" s="23">
        <v>95</v>
      </c>
      <c r="AK4" s="23">
        <f>AJ4*2</f>
        <v>190</v>
      </c>
      <c r="AL4" s="23">
        <f>AJ4*3</f>
        <v>285</v>
      </c>
      <c r="AN4" s="23">
        <v>150</v>
      </c>
      <c r="AO4" s="23">
        <f>AN4*2</f>
        <v>300</v>
      </c>
      <c r="AP4" s="23">
        <f>AN4*3</f>
        <v>450</v>
      </c>
      <c r="AR4" s="23">
        <v>75</v>
      </c>
      <c r="AS4" s="23">
        <f>AR4*2</f>
        <v>150</v>
      </c>
      <c r="AT4" s="23">
        <f>AR4*3</f>
        <v>225</v>
      </c>
      <c r="BI4" s="26"/>
      <c r="BM4" s="26"/>
      <c r="BQ4" s="27"/>
    </row>
    <row r="5" spans="1:69" s="23" customFormat="1" x14ac:dyDescent="0.25">
      <c r="A5" s="1" t="s">
        <v>36</v>
      </c>
      <c r="B5" s="1" t="s">
        <v>37</v>
      </c>
      <c r="C5" s="1" t="s">
        <v>38</v>
      </c>
      <c r="D5" s="1" t="s">
        <v>39</v>
      </c>
      <c r="E5" s="1" t="s">
        <v>40</v>
      </c>
      <c r="F5" s="1" t="s">
        <v>41</v>
      </c>
      <c r="G5" s="24"/>
      <c r="H5" s="25">
        <v>120</v>
      </c>
      <c r="I5" s="25">
        <v>240</v>
      </c>
      <c r="J5" s="25">
        <v>360</v>
      </c>
      <c r="L5" s="23">
        <v>75</v>
      </c>
      <c r="M5" s="23">
        <v>150</v>
      </c>
      <c r="N5" s="23">
        <v>225</v>
      </c>
      <c r="P5" s="23">
        <v>195</v>
      </c>
      <c r="Q5" s="23">
        <v>390</v>
      </c>
      <c r="R5" s="23">
        <v>585</v>
      </c>
      <c r="T5" s="23">
        <v>135</v>
      </c>
      <c r="U5" s="23">
        <f>T5*2</f>
        <v>270</v>
      </c>
      <c r="V5" s="23">
        <f>T5*3</f>
        <v>405</v>
      </c>
      <c r="X5" s="23">
        <v>125</v>
      </c>
      <c r="Y5" s="23">
        <f>X5*2</f>
        <v>250</v>
      </c>
      <c r="Z5" s="23">
        <f>X5*3</f>
        <v>375</v>
      </c>
      <c r="AB5" s="23">
        <v>75</v>
      </c>
      <c r="AC5" s="23">
        <f>AB5*2</f>
        <v>150</v>
      </c>
      <c r="AD5" s="23">
        <f>AB5*3</f>
        <v>225</v>
      </c>
      <c r="AF5" s="23">
        <v>75</v>
      </c>
      <c r="AG5" s="23">
        <f>AF5*2</f>
        <v>150</v>
      </c>
      <c r="AH5" s="23">
        <f>AF5*3</f>
        <v>225</v>
      </c>
      <c r="AJ5" s="23">
        <v>95</v>
      </c>
      <c r="AK5" s="23">
        <f>AJ5*2</f>
        <v>190</v>
      </c>
      <c r="AL5" s="23">
        <f>AJ5*3</f>
        <v>285</v>
      </c>
      <c r="AN5" s="23">
        <v>150</v>
      </c>
      <c r="AO5" s="23">
        <f>AN5*2</f>
        <v>300</v>
      </c>
      <c r="AP5" s="23">
        <f>AN5*3</f>
        <v>450</v>
      </c>
      <c r="AR5" s="23">
        <v>75</v>
      </c>
      <c r="AS5" s="23">
        <f>AR5*2</f>
        <v>150</v>
      </c>
      <c r="AT5" s="23">
        <f>AR5*3</f>
        <v>225</v>
      </c>
      <c r="BI5" s="26"/>
      <c r="BM5" s="26"/>
      <c r="BQ5" s="27"/>
    </row>
    <row r="6" spans="1:69" s="23" customFormat="1" x14ac:dyDescent="0.25">
      <c r="A6" s="1" t="s">
        <v>42</v>
      </c>
      <c r="B6" s="1" t="s">
        <v>43</v>
      </c>
      <c r="C6" s="1" t="s">
        <v>44</v>
      </c>
      <c r="D6" s="1" t="s">
        <v>45</v>
      </c>
      <c r="E6" s="1" t="s">
        <v>40</v>
      </c>
      <c r="F6" s="1" t="s">
        <v>46</v>
      </c>
      <c r="H6" s="25">
        <v>100</v>
      </c>
      <c r="I6" s="25">
        <v>200</v>
      </c>
      <c r="J6" s="25">
        <v>300</v>
      </c>
      <c r="L6" s="23">
        <v>60</v>
      </c>
      <c r="M6" s="23">
        <v>120</v>
      </c>
      <c r="N6" s="23">
        <v>180</v>
      </c>
      <c r="P6" s="23">
        <f t="shared" si="0"/>
        <v>160</v>
      </c>
      <c r="Q6" s="23">
        <f t="shared" si="0"/>
        <v>320</v>
      </c>
      <c r="R6" s="23">
        <f t="shared" si="0"/>
        <v>480</v>
      </c>
      <c r="T6" s="23">
        <v>110</v>
      </c>
      <c r="U6" s="23">
        <f>T6*2</f>
        <v>220</v>
      </c>
      <c r="V6" s="23">
        <f>T6*3</f>
        <v>330</v>
      </c>
      <c r="X6" s="23">
        <v>105</v>
      </c>
      <c r="Y6" s="23">
        <f>X6*2</f>
        <v>210</v>
      </c>
      <c r="Z6" s="23">
        <f>X6*3</f>
        <v>315</v>
      </c>
      <c r="AB6" s="23">
        <v>50</v>
      </c>
      <c r="AC6" s="23">
        <f>AB6*2</f>
        <v>100</v>
      </c>
      <c r="AD6" s="23">
        <f>AB6*3</f>
        <v>150</v>
      </c>
      <c r="AF6" s="23">
        <v>50</v>
      </c>
      <c r="AG6" s="23">
        <f>AF6*2</f>
        <v>100</v>
      </c>
      <c r="AH6" s="23">
        <f>AF6*3</f>
        <v>150</v>
      </c>
      <c r="AJ6" s="23">
        <v>75</v>
      </c>
      <c r="AK6" s="23">
        <f>AJ6*2</f>
        <v>150</v>
      </c>
      <c r="AL6" s="23">
        <f>AJ6*3</f>
        <v>225</v>
      </c>
      <c r="AN6" s="23">
        <v>105</v>
      </c>
      <c r="AO6" s="23">
        <f>AN6*2</f>
        <v>210</v>
      </c>
      <c r="AP6" s="23">
        <f>AN6*3</f>
        <v>315</v>
      </c>
      <c r="AR6" s="23">
        <v>69.5</v>
      </c>
      <c r="AS6" s="23">
        <f>AR6*2</f>
        <v>139</v>
      </c>
      <c r="AT6" s="23">
        <f>AR6*3</f>
        <v>208.5</v>
      </c>
      <c r="BI6" s="26"/>
      <c r="BM6" s="26"/>
      <c r="BQ6" s="27"/>
    </row>
    <row r="7" spans="1:69" s="23" customFormat="1" x14ac:dyDescent="0.25">
      <c r="A7" s="1" t="s">
        <v>82</v>
      </c>
      <c r="B7" s="1" t="s">
        <v>83</v>
      </c>
      <c r="C7" s="1" t="s">
        <v>44</v>
      </c>
      <c r="D7" s="1" t="s">
        <v>45</v>
      </c>
      <c r="E7" s="1" t="s">
        <v>40</v>
      </c>
      <c r="F7" s="1" t="s">
        <v>46</v>
      </c>
      <c r="H7" s="23">
        <v>120</v>
      </c>
      <c r="I7" s="23">
        <v>240</v>
      </c>
      <c r="J7" s="23">
        <v>360</v>
      </c>
      <c r="BI7" s="26"/>
      <c r="BM7" s="26"/>
    </row>
    <row r="8" spans="1:69" s="23" customFormat="1" x14ac:dyDescent="0.25">
      <c r="A8" s="1"/>
      <c r="B8" s="1"/>
      <c r="C8" s="1"/>
      <c r="D8" s="1"/>
      <c r="E8" s="1"/>
      <c r="F8" s="1"/>
      <c r="BI8" s="26"/>
      <c r="BM8" s="26"/>
    </row>
    <row r="9" spans="1:69" s="23" customFormat="1" x14ac:dyDescent="0.25">
      <c r="A9" s="1"/>
      <c r="B9" s="1"/>
      <c r="C9" s="1"/>
      <c r="D9" s="1"/>
      <c r="E9" s="1"/>
      <c r="F9" s="1"/>
      <c r="BI9" s="26"/>
      <c r="BM9" s="26"/>
    </row>
    <row r="10" spans="1:69" s="23" customFormat="1" x14ac:dyDescent="0.25">
      <c r="A10" s="1"/>
      <c r="B10" s="1"/>
      <c r="C10" s="1"/>
      <c r="D10" s="1"/>
      <c r="E10" s="1"/>
      <c r="F10" s="1"/>
      <c r="BI10" s="26"/>
      <c r="BM10" s="26"/>
    </row>
    <row r="11" spans="1:69" s="23" customFormat="1" x14ac:dyDescent="0.25">
      <c r="A11" s="1"/>
      <c r="B11" s="1"/>
      <c r="C11" s="1"/>
      <c r="D11" s="1"/>
      <c r="E11" s="1"/>
      <c r="F11" s="1"/>
      <c r="BI11" s="26"/>
      <c r="BM11" s="26"/>
    </row>
    <row r="12" spans="1:69" s="23" customFormat="1" x14ac:dyDescent="0.25">
      <c r="A12" s="1"/>
      <c r="B12" s="1"/>
      <c r="C12" s="1"/>
      <c r="D12" s="1"/>
      <c r="E12" s="1"/>
      <c r="F12" s="1"/>
      <c r="BI12" s="26"/>
      <c r="BM12" s="26"/>
    </row>
    <row r="13" spans="1:69" s="23" customFormat="1" x14ac:dyDescent="0.25">
      <c r="A13" s="1"/>
      <c r="B13" s="1"/>
      <c r="C13" s="1"/>
      <c r="D13" s="1"/>
      <c r="E13" s="1"/>
      <c r="F13" s="1"/>
      <c r="BI13" s="26"/>
      <c r="BM13" s="26"/>
    </row>
    <row r="14" spans="1:69" s="23" customFormat="1" x14ac:dyDescent="0.25">
      <c r="A14" s="1"/>
      <c r="B14" s="1"/>
      <c r="C14" s="1"/>
      <c r="D14" s="1"/>
      <c r="E14" s="1"/>
      <c r="F14" s="1"/>
      <c r="BI14" s="26"/>
      <c r="BM14" s="26"/>
    </row>
    <row r="15" spans="1:69" s="23" customFormat="1" x14ac:dyDescent="0.25">
      <c r="A15" s="1"/>
      <c r="B15" s="1"/>
      <c r="C15" s="1"/>
      <c r="D15" s="1"/>
      <c r="E15" s="1"/>
      <c r="F15" s="1"/>
      <c r="BI15" s="26"/>
      <c r="BM15" s="26"/>
    </row>
    <row r="16" spans="1:69" s="23" customFormat="1" x14ac:dyDescent="0.25">
      <c r="A16" s="1"/>
      <c r="B16" s="1"/>
      <c r="C16" s="1"/>
      <c r="D16" s="1"/>
      <c r="E16" s="1"/>
      <c r="F16" s="1"/>
      <c r="BI16" s="26"/>
      <c r="BM16" s="26"/>
    </row>
    <row r="17" spans="1:65" s="23" customFormat="1" x14ac:dyDescent="0.25">
      <c r="A17" s="1"/>
      <c r="B17" s="1"/>
      <c r="C17" s="1"/>
      <c r="D17" s="1"/>
      <c r="E17" s="1"/>
      <c r="F17" s="1"/>
      <c r="BI17" s="26"/>
      <c r="BM17" s="26"/>
    </row>
    <row r="18" spans="1:65" s="23" customFormat="1" x14ac:dyDescent="0.25">
      <c r="A18" s="1"/>
      <c r="B18" s="1"/>
      <c r="C18" s="1"/>
      <c r="D18" s="1"/>
      <c r="E18" s="1"/>
      <c r="F18" s="1"/>
      <c r="BI18" s="26"/>
      <c r="BM18" s="26"/>
    </row>
    <row r="19" spans="1:65" s="23" customFormat="1" x14ac:dyDescent="0.25">
      <c r="A19" s="1"/>
      <c r="B19" s="1"/>
      <c r="C19" s="1"/>
      <c r="D19" s="1"/>
      <c r="E19" s="1"/>
      <c r="F19" s="1"/>
      <c r="BI19" s="26"/>
      <c r="BM19" s="26"/>
    </row>
    <row r="20" spans="1:65" s="23" customFormat="1" x14ac:dyDescent="0.25">
      <c r="A20" s="1"/>
      <c r="B20" s="1"/>
      <c r="C20" s="1"/>
      <c r="D20" s="1"/>
      <c r="E20" s="1"/>
      <c r="F20" s="1"/>
      <c r="BI20" s="26"/>
      <c r="BM20" s="26"/>
    </row>
    <row r="21" spans="1:65" s="23" customFormat="1" x14ac:dyDescent="0.25">
      <c r="A21" s="1"/>
      <c r="B21" s="1"/>
      <c r="C21" s="1"/>
      <c r="D21" s="1"/>
      <c r="E21" s="1"/>
      <c r="F21" s="1"/>
      <c r="BI21" s="26"/>
      <c r="BM21" s="26"/>
    </row>
    <row r="22" spans="1:65" s="23" customFormat="1" x14ac:dyDescent="0.25">
      <c r="A22" s="1"/>
      <c r="B22" s="1"/>
      <c r="C22" s="1"/>
      <c r="D22" s="1"/>
      <c r="E22" s="1"/>
      <c r="F22" s="1"/>
      <c r="BI22" s="26"/>
      <c r="BM22" s="26"/>
    </row>
    <row r="23" spans="1:65" s="23" customFormat="1" x14ac:dyDescent="0.25">
      <c r="A23" s="1"/>
      <c r="B23" s="1"/>
      <c r="C23" s="1"/>
      <c r="D23" s="1"/>
      <c r="E23" s="1"/>
      <c r="F23" s="1"/>
      <c r="BI23" s="26"/>
      <c r="BM23" s="26"/>
    </row>
    <row r="24" spans="1:65" s="23" customFormat="1" x14ac:dyDescent="0.25">
      <c r="A24" s="1"/>
      <c r="B24" s="1"/>
      <c r="C24" s="1"/>
      <c r="D24" s="1"/>
      <c r="E24" s="1"/>
      <c r="F24" s="1"/>
      <c r="BI24" s="26"/>
      <c r="BM24" s="26"/>
    </row>
    <row r="25" spans="1:65" s="23" customFormat="1" x14ac:dyDescent="0.25">
      <c r="A25" s="1"/>
      <c r="B25" s="1"/>
      <c r="C25" s="1"/>
      <c r="D25" s="1"/>
      <c r="E25" s="1"/>
      <c r="F25" s="1"/>
      <c r="BI25" s="26"/>
      <c r="BM25" s="26"/>
    </row>
    <row r="26" spans="1:65" s="23" customFormat="1" x14ac:dyDescent="0.25">
      <c r="A26" s="1"/>
      <c r="B26" s="1"/>
      <c r="C26" s="1"/>
      <c r="D26" s="1"/>
      <c r="E26" s="1"/>
      <c r="F26" s="1"/>
      <c r="BI26" s="26"/>
      <c r="BM26" s="26"/>
    </row>
    <row r="27" spans="1:65" s="23" customFormat="1" x14ac:dyDescent="0.25">
      <c r="A27" s="1"/>
      <c r="B27" s="1"/>
      <c r="C27" s="1"/>
      <c r="D27" s="1"/>
      <c r="E27" s="1"/>
      <c r="F27" s="1"/>
      <c r="BI27" s="26"/>
      <c r="BM27" s="26"/>
    </row>
    <row r="28" spans="1:65" s="23" customFormat="1" x14ac:dyDescent="0.25">
      <c r="A28" s="1"/>
      <c r="B28" s="1"/>
      <c r="C28" s="1"/>
      <c r="D28" s="1"/>
      <c r="E28" s="1"/>
      <c r="F28" s="1"/>
      <c r="BI28" s="26"/>
      <c r="BM28" s="26"/>
    </row>
    <row r="29" spans="1:65" s="23" customFormat="1" x14ac:dyDescent="0.25">
      <c r="A29" s="1"/>
      <c r="B29" s="1"/>
      <c r="C29" s="1"/>
      <c r="D29" s="1"/>
      <c r="E29" s="1"/>
      <c r="F29" s="1"/>
      <c r="BI29" s="26"/>
      <c r="BM29" s="26"/>
    </row>
    <row r="30" spans="1:65" s="23" customFormat="1" x14ac:dyDescent="0.25">
      <c r="A30" s="1"/>
      <c r="B30" s="1"/>
      <c r="C30" s="1"/>
      <c r="D30" s="1"/>
      <c r="E30" s="1"/>
      <c r="F30" s="1"/>
      <c r="BI30" s="26"/>
      <c r="BM30" s="26"/>
    </row>
    <row r="31" spans="1:65" s="23" customFormat="1" x14ac:dyDescent="0.25">
      <c r="A31" s="1"/>
      <c r="B31" s="1"/>
      <c r="C31" s="1"/>
      <c r="D31" s="1"/>
      <c r="E31" s="1"/>
      <c r="F31" s="1"/>
      <c r="BI31" s="26"/>
      <c r="BM31" s="26"/>
    </row>
    <row r="32" spans="1:65" s="23" customFormat="1" x14ac:dyDescent="0.25">
      <c r="A32" s="1"/>
      <c r="B32" s="1"/>
      <c r="C32" s="1"/>
      <c r="D32" s="1"/>
      <c r="E32" s="1"/>
      <c r="F32" s="1"/>
      <c r="BI32" s="26"/>
      <c r="BM32" s="26"/>
    </row>
    <row r="33" spans="1:65" s="23" customFormat="1" x14ac:dyDescent="0.25">
      <c r="A33" s="1"/>
      <c r="B33" s="1"/>
      <c r="C33" s="1"/>
      <c r="D33" s="1"/>
      <c r="E33" s="1"/>
      <c r="F33" s="1"/>
      <c r="BI33" s="26"/>
      <c r="BM33" s="26"/>
    </row>
    <row r="34" spans="1:65" s="23" customFormat="1" x14ac:dyDescent="0.25">
      <c r="A34" s="1"/>
      <c r="B34" s="1"/>
      <c r="C34" s="1"/>
      <c r="D34" s="1"/>
      <c r="E34" s="1"/>
      <c r="F34" s="1"/>
      <c r="BI34" s="26"/>
      <c r="BM34" s="26"/>
    </row>
    <row r="35" spans="1:65" s="23" customFormat="1" x14ac:dyDescent="0.25">
      <c r="A35" s="1"/>
      <c r="B35" s="1"/>
      <c r="C35" s="1"/>
      <c r="D35" s="1"/>
      <c r="E35" s="1"/>
      <c r="F35" s="1"/>
      <c r="BI35" s="26"/>
      <c r="BM35" s="26"/>
    </row>
    <row r="36" spans="1:65" s="23" customFormat="1" x14ac:dyDescent="0.25">
      <c r="A36" s="1"/>
      <c r="B36" s="1"/>
      <c r="C36" s="1"/>
      <c r="D36" s="1"/>
      <c r="E36" s="1"/>
      <c r="F36" s="1"/>
      <c r="BI36" s="26"/>
      <c r="BM36" s="26"/>
    </row>
    <row r="37" spans="1:65" s="23" customFormat="1" x14ac:dyDescent="0.25">
      <c r="A37" s="1"/>
      <c r="B37" s="1"/>
      <c r="C37" s="1"/>
      <c r="D37" s="1"/>
      <c r="E37" s="1"/>
      <c r="F37" s="1"/>
      <c r="BI37" s="26"/>
      <c r="BM37" s="26"/>
    </row>
    <row r="38" spans="1:65" s="23" customFormat="1" x14ac:dyDescent="0.25">
      <c r="A38" s="1"/>
      <c r="B38" s="1"/>
      <c r="C38" s="1"/>
      <c r="D38" s="1"/>
      <c r="E38" s="1"/>
      <c r="F38" s="1"/>
      <c r="BI38" s="26"/>
      <c r="BM38" s="26"/>
    </row>
  </sheetData>
  <sheetProtection algorithmName="SHA-512" hashValue="k/wfhIZMwW3XO4RFkzeiFCxyuQNfKy8NWZJHf0BsLjdUj5JbwqrxLi2DbtiTqVPbScbnzS9JgDNNslyYYecy5A==" saltValue="QhBvV5ez221jnoHqdny46w==" spinCount="100000" sheet="1" objects="1" scenarios="1"/>
  <mergeCells count="15">
    <mergeCell ref="H2:J2"/>
    <mergeCell ref="BJ2:BL2"/>
    <mergeCell ref="BN2:BP2"/>
    <mergeCell ref="AZ2:BB2"/>
    <mergeCell ref="BD2:BF2"/>
    <mergeCell ref="AF2:AH2"/>
    <mergeCell ref="AJ2:AL2"/>
    <mergeCell ref="AN2:AP2"/>
    <mergeCell ref="AR2:AT2"/>
    <mergeCell ref="AV2:AX2"/>
    <mergeCell ref="AB2:AD2"/>
    <mergeCell ref="X2:Z2"/>
    <mergeCell ref="T2:V2"/>
    <mergeCell ref="P2:R2"/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9758-9D76-4560-AA1C-6FA6B26F5C6B}">
  <sheetPr codeName="Sheet6"/>
  <dimension ref="B1:BL4"/>
  <sheetViews>
    <sheetView tabSelected="1" workbookViewId="0">
      <selection activeCell="W4" sqref="W4"/>
    </sheetView>
  </sheetViews>
  <sheetFormatPr defaultRowHeight="15" x14ac:dyDescent="0.25"/>
  <cols>
    <col min="6" max="6" width="2" customWidth="1"/>
    <col min="10" max="10" width="1.85546875" customWidth="1"/>
    <col min="14" max="14" width="1.5703125" customWidth="1"/>
    <col min="18" max="18" width="1.5703125" customWidth="1"/>
    <col min="22" max="22" width="2" customWidth="1"/>
    <col min="26" max="26" width="1.7109375" customWidth="1"/>
    <col min="30" max="30" width="1.7109375" customWidth="1"/>
    <col min="34" max="34" width="1.7109375" customWidth="1"/>
    <col min="35" max="35" width="12.140625" customWidth="1"/>
    <col min="39" max="39" width="1.85546875" customWidth="1"/>
    <col min="43" max="43" width="2.140625" customWidth="1"/>
    <col min="47" max="47" width="2.140625" customWidth="1"/>
    <col min="51" max="51" width="2.140625" customWidth="1"/>
    <col min="55" max="55" width="2" customWidth="1"/>
    <col min="57" max="57" width="2" customWidth="1"/>
    <col min="61" max="61" width="2" customWidth="1"/>
  </cols>
  <sheetData>
    <row r="1" spans="2:64" ht="25.9" customHeight="1" x14ac:dyDescent="0.25">
      <c r="C1" s="83" t="s">
        <v>16</v>
      </c>
      <c r="D1" s="83"/>
      <c r="E1" s="83"/>
      <c r="G1" s="83" t="s">
        <v>17</v>
      </c>
      <c r="H1" s="83"/>
      <c r="I1" s="83"/>
      <c r="K1" s="83" t="s">
        <v>18</v>
      </c>
      <c r="L1" s="83"/>
      <c r="M1" s="83"/>
      <c r="O1" s="83" t="s">
        <v>19</v>
      </c>
      <c r="P1" s="83"/>
      <c r="Q1" s="83"/>
      <c r="S1" s="83" t="s">
        <v>47</v>
      </c>
      <c r="T1" s="83"/>
      <c r="U1" s="83"/>
      <c r="V1" s="11"/>
      <c r="W1" s="87" t="s">
        <v>23</v>
      </c>
      <c r="X1" s="87"/>
      <c r="Y1" s="87"/>
      <c r="Z1" s="11"/>
      <c r="AA1" s="86"/>
      <c r="AB1" s="86"/>
      <c r="AC1" s="86"/>
      <c r="AD1" s="11"/>
      <c r="AE1" s="86"/>
      <c r="AF1" s="86"/>
      <c r="AG1" s="86"/>
      <c r="AH1" s="11"/>
      <c r="AI1" s="14" t="s">
        <v>48</v>
      </c>
      <c r="AJ1" s="83" t="s">
        <v>24</v>
      </c>
      <c r="AK1" s="83"/>
      <c r="AL1" s="83"/>
      <c r="AM1" s="8"/>
      <c r="AN1" s="83" t="s">
        <v>25</v>
      </c>
      <c r="AO1" s="83"/>
      <c r="AP1" s="83"/>
      <c r="AQ1" s="8"/>
      <c r="AR1" s="86"/>
      <c r="AS1" s="86"/>
      <c r="AT1" s="86"/>
      <c r="AU1" s="8"/>
      <c r="AV1" s="86"/>
      <c r="AW1" s="86"/>
      <c r="AX1" s="86"/>
      <c r="AY1" s="8"/>
      <c r="AZ1" s="86"/>
      <c r="BA1" s="86"/>
      <c r="BB1" s="86"/>
      <c r="BD1" s="15" t="s">
        <v>26</v>
      </c>
      <c r="BF1" s="84" t="s">
        <v>27</v>
      </c>
      <c r="BG1" s="84"/>
      <c r="BH1" s="84"/>
      <c r="BJ1" s="84" t="s">
        <v>28</v>
      </c>
      <c r="BK1" s="84"/>
      <c r="BL1" s="84"/>
    </row>
    <row r="2" spans="2:64" s="8" customFormat="1" ht="17.45" customHeight="1" thickBot="1" x14ac:dyDescent="0.25">
      <c r="B2" s="8" t="s">
        <v>29</v>
      </c>
      <c r="C2" s="8" t="s">
        <v>30</v>
      </c>
      <c r="D2" s="8" t="s">
        <v>31</v>
      </c>
      <c r="E2" s="8" t="s">
        <v>32</v>
      </c>
      <c r="G2" s="8" t="s">
        <v>30</v>
      </c>
      <c r="H2" s="8" t="s">
        <v>31</v>
      </c>
      <c r="I2" s="8" t="s">
        <v>32</v>
      </c>
      <c r="K2" s="8" t="s">
        <v>30</v>
      </c>
      <c r="L2" s="8" t="s">
        <v>31</v>
      </c>
      <c r="M2" s="8" t="s">
        <v>32</v>
      </c>
      <c r="O2" s="8" t="s">
        <v>30</v>
      </c>
      <c r="P2" s="8" t="s">
        <v>31</v>
      </c>
      <c r="Q2" s="8" t="s">
        <v>32</v>
      </c>
      <c r="S2" s="8" t="s">
        <v>30</v>
      </c>
      <c r="T2" s="8" t="s">
        <v>31</v>
      </c>
      <c r="U2" s="8" t="s">
        <v>32</v>
      </c>
      <c r="W2" s="8" t="s">
        <v>30</v>
      </c>
      <c r="X2" s="8" t="s">
        <v>31</v>
      </c>
      <c r="Y2" s="8" t="s">
        <v>32</v>
      </c>
      <c r="AA2" s="8" t="s">
        <v>30</v>
      </c>
      <c r="AB2" s="8" t="s">
        <v>31</v>
      </c>
      <c r="AC2" s="8" t="s">
        <v>32</v>
      </c>
      <c r="AE2" s="8" t="s">
        <v>30</v>
      </c>
      <c r="AF2" s="8" t="s">
        <v>31</v>
      </c>
      <c r="AG2" s="8" t="s">
        <v>32</v>
      </c>
      <c r="AJ2" s="8" t="s">
        <v>30</v>
      </c>
      <c r="AK2" s="8" t="s">
        <v>31</v>
      </c>
      <c r="AL2" s="8" t="s">
        <v>32</v>
      </c>
      <c r="AN2" s="8" t="s">
        <v>30</v>
      </c>
      <c r="AO2" s="8" t="s">
        <v>31</v>
      </c>
      <c r="AP2" s="8" t="s">
        <v>32</v>
      </c>
      <c r="AR2" s="8" t="s">
        <v>30</v>
      </c>
      <c r="AS2" s="8" t="s">
        <v>31</v>
      </c>
      <c r="AT2" s="8" t="s">
        <v>32</v>
      </c>
      <c r="AV2" s="8" t="s">
        <v>30</v>
      </c>
      <c r="AW2" s="8" t="s">
        <v>31</v>
      </c>
      <c r="AX2" s="8" t="s">
        <v>32</v>
      </c>
      <c r="AZ2" s="8" t="s">
        <v>30</v>
      </c>
      <c r="BA2" s="8" t="s">
        <v>31</v>
      </c>
      <c r="BB2" s="8" t="s">
        <v>32</v>
      </c>
      <c r="BF2" s="8" t="s">
        <v>30</v>
      </c>
      <c r="BG2" s="8" t="s">
        <v>31</v>
      </c>
      <c r="BH2" s="8" t="s">
        <v>32</v>
      </c>
      <c r="BJ2" s="8" t="s">
        <v>30</v>
      </c>
      <c r="BK2" s="8" t="s">
        <v>31</v>
      </c>
      <c r="BL2" s="8" t="s">
        <v>32</v>
      </c>
    </row>
    <row r="3" spans="2:64" ht="45.6" customHeight="1" thickBot="1" x14ac:dyDescent="0.3">
      <c r="B3" s="21" t="s">
        <v>10</v>
      </c>
      <c r="C3" s="10"/>
      <c r="W3" s="18" t="s">
        <v>49</v>
      </c>
      <c r="X3" s="20" t="s">
        <v>50</v>
      </c>
      <c r="Y3" s="19" t="s">
        <v>51</v>
      </c>
      <c r="AJ3" s="3"/>
      <c r="AK3" s="3"/>
      <c r="AL3" s="3"/>
    </row>
    <row r="4" spans="2:64" ht="42" customHeight="1" x14ac:dyDescent="0.25">
      <c r="B4" s="22" t="s">
        <v>52</v>
      </c>
    </row>
  </sheetData>
  <mergeCells count="15">
    <mergeCell ref="AV1:AX1"/>
    <mergeCell ref="AZ1:BB1"/>
    <mergeCell ref="BF1:BH1"/>
    <mergeCell ref="BJ1:BL1"/>
    <mergeCell ref="C1:E1"/>
    <mergeCell ref="G1:I1"/>
    <mergeCell ref="AJ1:AL1"/>
    <mergeCell ref="AN1:AP1"/>
    <mergeCell ref="AR1:AT1"/>
    <mergeCell ref="AA1:AC1"/>
    <mergeCell ref="AE1:AG1"/>
    <mergeCell ref="K1:M1"/>
    <mergeCell ref="W1:Y1"/>
    <mergeCell ref="S1:U1"/>
    <mergeCell ref="O1:Q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7DCD5-3934-405C-BB03-A8E093B96616}">
  <sheetPr codeName="Sheet4"/>
  <dimension ref="A1:F34"/>
  <sheetViews>
    <sheetView workbookViewId="0">
      <selection activeCell="B5" sqref="B5"/>
    </sheetView>
  </sheetViews>
  <sheetFormatPr defaultRowHeight="15" x14ac:dyDescent="0.25"/>
  <cols>
    <col min="1" max="1" width="9.7109375" style="58" bestFit="1" customWidth="1"/>
    <col min="2" max="2" width="10.42578125" customWidth="1"/>
    <col min="3" max="3" width="9.28515625" style="41" customWidth="1"/>
    <col min="5" max="5" width="11.140625" customWidth="1"/>
    <col min="6" max="6" width="15.85546875" bestFit="1" customWidth="1"/>
  </cols>
  <sheetData>
    <row r="1" spans="1:6" x14ac:dyDescent="0.25">
      <c r="A1" s="57" t="s">
        <v>53</v>
      </c>
      <c r="B1" s="54" t="s">
        <v>77</v>
      </c>
      <c r="C1" s="59" t="s">
        <v>78</v>
      </c>
      <c r="D1" s="54" t="s">
        <v>55</v>
      </c>
      <c r="E1" s="54" t="s">
        <v>79</v>
      </c>
      <c r="F1" s="54" t="s">
        <v>56</v>
      </c>
    </row>
    <row r="2" spans="1:6" x14ac:dyDescent="0.25">
      <c r="A2" s="55">
        <v>46099</v>
      </c>
      <c r="B2" s="1">
        <v>260003</v>
      </c>
      <c r="C2" s="60">
        <v>2010</v>
      </c>
      <c r="D2" s="56">
        <v>100.5</v>
      </c>
      <c r="E2" s="1"/>
      <c r="F2" s="1" t="s">
        <v>80</v>
      </c>
    </row>
    <row r="3" spans="1:6" x14ac:dyDescent="0.25">
      <c r="A3" s="55">
        <v>46099</v>
      </c>
      <c r="B3" s="1">
        <v>260004</v>
      </c>
      <c r="C3" s="60">
        <v>2010</v>
      </c>
      <c r="D3" s="56">
        <v>100.5</v>
      </c>
      <c r="E3" s="1" t="s">
        <v>80</v>
      </c>
      <c r="F3" s="1"/>
    </row>
    <row r="4" spans="1:6" x14ac:dyDescent="0.25">
      <c r="A4" s="55">
        <v>46100</v>
      </c>
      <c r="B4" s="1">
        <v>260012</v>
      </c>
      <c r="C4" s="60">
        <v>0</v>
      </c>
      <c r="D4" s="56"/>
      <c r="E4" s="1" t="s">
        <v>80</v>
      </c>
      <c r="F4" s="1"/>
    </row>
    <row r="5" spans="1:6" x14ac:dyDescent="0.25">
      <c r="A5" s="55">
        <v>46100</v>
      </c>
      <c r="B5" s="1">
        <v>260013</v>
      </c>
      <c r="C5" s="60">
        <v>252</v>
      </c>
      <c r="D5" s="56"/>
      <c r="E5" s="1"/>
      <c r="F5" s="1" t="s">
        <v>80</v>
      </c>
    </row>
    <row r="6" spans="1:6" x14ac:dyDescent="0.25">
      <c r="A6" s="55"/>
      <c r="B6" s="1"/>
      <c r="C6" s="60"/>
      <c r="D6" s="56"/>
      <c r="E6" s="1"/>
      <c r="F6" s="1"/>
    </row>
    <row r="7" spans="1:6" x14ac:dyDescent="0.25">
      <c r="A7" s="55"/>
      <c r="B7" s="1"/>
      <c r="C7" s="60"/>
      <c r="D7" s="56"/>
      <c r="E7" s="1"/>
      <c r="F7" s="1"/>
    </row>
    <row r="8" spans="1:6" x14ac:dyDescent="0.25">
      <c r="A8" s="55"/>
      <c r="B8" s="1"/>
      <c r="C8" s="60"/>
      <c r="D8" s="56"/>
      <c r="E8" s="1"/>
      <c r="F8" s="1"/>
    </row>
    <row r="9" spans="1:6" x14ac:dyDescent="0.25">
      <c r="A9" s="55"/>
      <c r="B9" s="1"/>
      <c r="C9" s="60"/>
      <c r="D9" s="1"/>
      <c r="E9" s="1"/>
      <c r="F9" s="1"/>
    </row>
    <row r="10" spans="1:6" x14ac:dyDescent="0.25">
      <c r="A10" s="55"/>
      <c r="B10" s="1"/>
      <c r="C10" s="60"/>
      <c r="D10" s="1"/>
      <c r="E10" s="1"/>
      <c r="F10" s="1"/>
    </row>
    <row r="11" spans="1:6" x14ac:dyDescent="0.25">
      <c r="A11" s="55"/>
      <c r="B11" s="1"/>
      <c r="C11" s="60"/>
      <c r="D11" s="1"/>
      <c r="E11" s="1"/>
      <c r="F11" s="1"/>
    </row>
    <row r="12" spans="1:6" x14ac:dyDescent="0.25">
      <c r="A12" s="55"/>
      <c r="B12" s="1"/>
      <c r="C12" s="60"/>
      <c r="D12" s="1"/>
      <c r="E12" s="1"/>
      <c r="F12" s="1"/>
    </row>
    <row r="13" spans="1:6" x14ac:dyDescent="0.25">
      <c r="A13" s="55"/>
      <c r="B13" s="1"/>
      <c r="C13" s="60"/>
      <c r="D13" s="1"/>
      <c r="E13" s="1"/>
      <c r="F13" s="1"/>
    </row>
    <row r="14" spans="1:6" x14ac:dyDescent="0.25">
      <c r="A14" s="55"/>
      <c r="B14" s="1"/>
      <c r="C14" s="60"/>
      <c r="D14" s="1"/>
      <c r="E14" s="1"/>
      <c r="F14" s="1"/>
    </row>
    <row r="15" spans="1:6" x14ac:dyDescent="0.25">
      <c r="A15" s="55"/>
      <c r="B15" s="1"/>
      <c r="C15" s="60"/>
      <c r="D15" s="1"/>
      <c r="E15" s="1"/>
      <c r="F15" s="1"/>
    </row>
    <row r="16" spans="1:6" x14ac:dyDescent="0.25">
      <c r="A16" s="55"/>
      <c r="B16" s="1"/>
      <c r="C16" s="60"/>
      <c r="D16" s="1"/>
      <c r="E16" s="1"/>
      <c r="F16" s="1"/>
    </row>
    <row r="17" spans="1:6" x14ac:dyDescent="0.25">
      <c r="A17" s="55"/>
      <c r="B17" s="1"/>
      <c r="C17" s="60"/>
      <c r="D17" s="1"/>
      <c r="E17" s="1"/>
      <c r="F17" s="1"/>
    </row>
    <row r="18" spans="1:6" x14ac:dyDescent="0.25">
      <c r="A18" s="55"/>
      <c r="B18" s="1"/>
      <c r="C18" s="60"/>
      <c r="D18" s="1"/>
      <c r="E18" s="1"/>
      <c r="F18" s="1"/>
    </row>
    <row r="19" spans="1:6" x14ac:dyDescent="0.25">
      <c r="A19" s="55"/>
      <c r="B19" s="1"/>
      <c r="C19" s="60"/>
      <c r="D19" s="1"/>
      <c r="E19" s="1"/>
      <c r="F19" s="1"/>
    </row>
    <row r="20" spans="1:6" x14ac:dyDescent="0.25">
      <c r="A20" s="55"/>
      <c r="B20" s="1"/>
      <c r="C20" s="60"/>
      <c r="D20" s="1"/>
      <c r="E20" s="1"/>
      <c r="F20" s="1"/>
    </row>
    <row r="21" spans="1:6" x14ac:dyDescent="0.25">
      <c r="A21" s="55"/>
      <c r="B21" s="1"/>
      <c r="C21" s="60"/>
      <c r="D21" s="1"/>
      <c r="E21" s="1"/>
      <c r="F21" s="1"/>
    </row>
    <row r="22" spans="1:6" x14ac:dyDescent="0.25">
      <c r="A22" s="55"/>
      <c r="B22" s="1"/>
      <c r="C22" s="60"/>
      <c r="D22" s="1"/>
      <c r="E22" s="1"/>
      <c r="F22" s="1"/>
    </row>
    <row r="23" spans="1:6" x14ac:dyDescent="0.25">
      <c r="A23" s="55"/>
      <c r="B23" s="1"/>
      <c r="C23" s="60"/>
      <c r="D23" s="1"/>
      <c r="E23" s="1"/>
      <c r="F23" s="1"/>
    </row>
    <row r="24" spans="1:6" x14ac:dyDescent="0.25">
      <c r="A24" s="55"/>
      <c r="B24" s="1"/>
      <c r="C24" s="60"/>
      <c r="D24" s="1"/>
      <c r="E24" s="1"/>
      <c r="F24" s="1"/>
    </row>
    <row r="25" spans="1:6" x14ac:dyDescent="0.25">
      <c r="A25" s="55"/>
      <c r="B25" s="1"/>
      <c r="C25" s="60"/>
      <c r="D25" s="1"/>
      <c r="E25" s="1"/>
      <c r="F25" s="1"/>
    </row>
    <row r="26" spans="1:6" x14ac:dyDescent="0.25">
      <c r="A26" s="55"/>
      <c r="B26" s="1"/>
      <c r="C26" s="60"/>
      <c r="D26" s="1"/>
      <c r="E26" s="1"/>
      <c r="F26" s="1"/>
    </row>
    <row r="27" spans="1:6" x14ac:dyDescent="0.25">
      <c r="A27" s="55"/>
      <c r="B27" s="1"/>
      <c r="C27" s="60"/>
      <c r="D27" s="1"/>
      <c r="E27" s="1"/>
      <c r="F27" s="1"/>
    </row>
    <row r="28" spans="1:6" x14ac:dyDescent="0.25">
      <c r="A28" s="55"/>
      <c r="B28" s="1"/>
      <c r="C28" s="60"/>
      <c r="D28" s="1"/>
      <c r="E28" s="1"/>
      <c r="F28" s="1"/>
    </row>
    <row r="29" spans="1:6" x14ac:dyDescent="0.25">
      <c r="A29" s="55"/>
      <c r="B29" s="1"/>
      <c r="C29" s="60"/>
      <c r="D29" s="1"/>
      <c r="E29" s="1"/>
      <c r="F29" s="1"/>
    </row>
    <row r="30" spans="1:6" x14ac:dyDescent="0.25">
      <c r="A30" s="55"/>
      <c r="B30" s="1"/>
      <c r="C30" s="60"/>
      <c r="D30" s="1"/>
      <c r="E30" s="1"/>
      <c r="F30" s="1"/>
    </row>
    <row r="31" spans="1:6" x14ac:dyDescent="0.25">
      <c r="A31" s="55"/>
      <c r="B31" s="1"/>
      <c r="C31" s="60"/>
      <c r="D31" s="1"/>
      <c r="E31" s="1"/>
      <c r="F31" s="1"/>
    </row>
    <row r="32" spans="1:6" x14ac:dyDescent="0.25">
      <c r="A32" s="55"/>
      <c r="B32" s="1"/>
      <c r="C32" s="60"/>
      <c r="D32" s="1"/>
      <c r="E32" s="1"/>
      <c r="F32" s="1"/>
    </row>
    <row r="33" spans="1:6" x14ac:dyDescent="0.25">
      <c r="A33" s="55"/>
      <c r="B33" s="1"/>
      <c r="C33" s="60"/>
      <c r="D33" s="1"/>
      <c r="E33" s="1"/>
      <c r="F33" s="1"/>
    </row>
    <row r="34" spans="1:6" x14ac:dyDescent="0.25">
      <c r="A34" s="55"/>
      <c r="B34" s="1"/>
      <c r="C34" s="60"/>
      <c r="D34" s="1"/>
      <c r="E34" s="1"/>
      <c r="F34" s="1"/>
    </row>
  </sheetData>
  <sheetProtection algorithmName="SHA-512" hashValue="zP8pUk4cx1qukLoo1EAS5oV4484nBcY/p/Wqp1ULTY1Rt8+WKDzfbpHsPiWhRv140vMxiDmDVUQqRzchdOlSAQ==" saltValue="MWhGa1wBrqrZIvoYgZFvQ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C9F88-D7A0-42B9-9B0C-A52AEA63CD47}">
  <sheetPr codeName="Sheet2"/>
  <dimension ref="A1:BE105"/>
  <sheetViews>
    <sheetView workbookViewId="0">
      <selection activeCell="O32" sqref="O32"/>
    </sheetView>
  </sheetViews>
  <sheetFormatPr defaultRowHeight="15" x14ac:dyDescent="0.25"/>
  <cols>
    <col min="8" max="8" width="9.7109375" bestFit="1" customWidth="1"/>
  </cols>
  <sheetData>
    <row r="1" spans="1:57" x14ac:dyDescent="0.25">
      <c r="A1" s="49" t="s">
        <v>57</v>
      </c>
      <c r="B1">
        <v>260010</v>
      </c>
      <c r="G1" s="1" t="s">
        <v>53</v>
      </c>
      <c r="H1" s="92">
        <f ca="1">TODAY()</f>
        <v>46148</v>
      </c>
      <c r="I1" s="92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0.06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</row>
    <row r="2" spans="1:57" x14ac:dyDescent="0.25"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</row>
    <row r="3" spans="1:57" x14ac:dyDescent="0.25">
      <c r="A3" s="49" t="s">
        <v>58</v>
      </c>
      <c r="G3" s="49" t="s">
        <v>59</v>
      </c>
      <c r="H3" s="88" t="s">
        <v>60</v>
      </c>
      <c r="I3" s="88"/>
      <c r="J3" s="88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</row>
    <row r="4" spans="1:57" x14ac:dyDescent="0.25">
      <c r="A4" s="91" t="s">
        <v>0</v>
      </c>
      <c r="B4" s="91"/>
      <c r="C4" s="88" t="str">
        <f>FrontPage!C5</f>
        <v>Bar N Ranch</v>
      </c>
      <c r="D4" s="88"/>
      <c r="E4" s="88"/>
      <c r="H4" s="88" t="s">
        <v>61</v>
      </c>
      <c r="I4" s="88"/>
      <c r="J4" s="88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</row>
    <row r="5" spans="1:57" x14ac:dyDescent="0.25">
      <c r="A5" s="91" t="s">
        <v>2</v>
      </c>
      <c r="B5" s="91"/>
      <c r="C5" s="88" t="str">
        <f>FrontPage!C6</f>
        <v>Barry Bar</v>
      </c>
      <c r="D5" s="88"/>
      <c r="E5" s="88"/>
      <c r="H5" s="88" t="s">
        <v>62</v>
      </c>
      <c r="I5" s="88"/>
      <c r="J5" s="88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</row>
    <row r="6" spans="1:57" x14ac:dyDescent="0.25">
      <c r="A6" s="9"/>
      <c r="B6" s="9" t="s">
        <v>4</v>
      </c>
      <c r="C6" s="88" t="str">
        <f>FrontPage!C7</f>
        <v>Box 32</v>
      </c>
      <c r="D6" s="88"/>
      <c r="E6" s="88"/>
      <c r="H6" s="88" t="s">
        <v>63</v>
      </c>
      <c r="I6" s="88"/>
      <c r="J6" s="88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</row>
    <row r="7" spans="1:57" x14ac:dyDescent="0.25">
      <c r="A7" s="91" t="s">
        <v>5</v>
      </c>
      <c r="B7" s="91"/>
      <c r="C7" s="88" t="str">
        <f>FrontPage!C8</f>
        <v>Black Diamond</v>
      </c>
      <c r="D7" s="88"/>
      <c r="E7" s="88"/>
      <c r="H7" s="88" t="s">
        <v>64</v>
      </c>
      <c r="I7" s="88"/>
      <c r="J7" s="88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</row>
    <row r="8" spans="1:57" x14ac:dyDescent="0.25">
      <c r="A8" s="91" t="s">
        <v>6</v>
      </c>
      <c r="B8" s="91"/>
      <c r="C8" s="88" t="str">
        <f>FrontPage!C9</f>
        <v>AB</v>
      </c>
      <c r="D8" s="88"/>
      <c r="E8" s="88"/>
      <c r="H8" s="88" t="s">
        <v>65</v>
      </c>
      <c r="I8" s="88"/>
      <c r="J8" s="88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</row>
    <row r="9" spans="1:57" x14ac:dyDescent="0.25">
      <c r="A9" s="91" t="s">
        <v>7</v>
      </c>
      <c r="B9" s="91"/>
      <c r="C9" s="88" t="str">
        <f>FrontPage!C10</f>
        <v>T0B 1Z3</v>
      </c>
      <c r="D9" s="88"/>
      <c r="E9" s="88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</row>
    <row r="10" spans="1:57" x14ac:dyDescent="0.25"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</row>
    <row r="11" spans="1:57" x14ac:dyDescent="0.25">
      <c r="A11" s="89" t="s">
        <v>9</v>
      </c>
      <c r="B11" s="89"/>
      <c r="C11" s="89"/>
      <c r="D11" s="89"/>
      <c r="E11" s="89"/>
      <c r="F11" s="89"/>
      <c r="G11" s="89"/>
      <c r="H11" s="89"/>
      <c r="I11" s="89"/>
      <c r="J11" s="89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</row>
    <row r="12" spans="1:57" x14ac:dyDescent="0.25">
      <c r="A12" s="38" t="s">
        <v>66</v>
      </c>
      <c r="B12" s="90" t="s">
        <v>67</v>
      </c>
      <c r="C12" s="90"/>
      <c r="D12" s="90"/>
      <c r="E12" s="90"/>
      <c r="F12" s="90"/>
      <c r="G12" s="90"/>
      <c r="H12" s="90"/>
      <c r="I12" s="39" t="s">
        <v>12</v>
      </c>
      <c r="J12" s="39" t="s">
        <v>68</v>
      </c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</row>
    <row r="13" spans="1:57" x14ac:dyDescent="0.25">
      <c r="B13" s="84"/>
      <c r="C13" s="84"/>
      <c r="D13" s="84"/>
      <c r="E13" s="84"/>
      <c r="F13" s="84"/>
      <c r="G13" s="84"/>
      <c r="H13" s="84"/>
      <c r="I13" s="41"/>
      <c r="J13" s="41">
        <v>100</v>
      </c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</row>
    <row r="14" spans="1:57" x14ac:dyDescent="0.25">
      <c r="B14" s="84"/>
      <c r="C14" s="84"/>
      <c r="D14" s="84"/>
      <c r="E14" s="84"/>
      <c r="F14" s="84"/>
      <c r="G14" s="84"/>
      <c r="H14" s="84"/>
      <c r="I14" s="41"/>
      <c r="J14" s="41">
        <f t="shared" ref="J14:J18" si="0" xml:space="preserve"> (A14 * I14)</f>
        <v>0</v>
      </c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</row>
    <row r="15" spans="1:57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</row>
    <row r="16" spans="1:57" x14ac:dyDescent="0.25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</row>
    <row r="17" spans="1:57" x14ac:dyDescent="0.25">
      <c r="B17" s="84"/>
      <c r="C17" s="84"/>
      <c r="D17" s="84"/>
      <c r="E17" s="84"/>
      <c r="F17" s="84"/>
      <c r="G17" s="84"/>
      <c r="H17" s="84"/>
      <c r="I17" s="41"/>
      <c r="J17" s="41">
        <f t="shared" si="0"/>
        <v>0</v>
      </c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</row>
    <row r="18" spans="1:57" x14ac:dyDescent="0.25">
      <c r="B18" s="84"/>
      <c r="C18" s="84"/>
      <c r="D18" s="84"/>
      <c r="E18" s="84"/>
      <c r="F18" s="84"/>
      <c r="G18" s="84"/>
      <c r="H18" s="84"/>
      <c r="I18" s="41"/>
      <c r="J18" s="41">
        <f t="shared" si="0"/>
        <v>0</v>
      </c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</row>
    <row r="19" spans="1:57" ht="15.75" thickBot="1" x14ac:dyDescent="0.3">
      <c r="B19" s="84"/>
      <c r="C19" s="84"/>
      <c r="D19" s="84"/>
      <c r="E19" s="84"/>
      <c r="F19" s="84"/>
      <c r="G19" s="84"/>
      <c r="H19" s="84"/>
      <c r="I19" s="41"/>
      <c r="J19" s="41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</row>
    <row r="20" spans="1:57" ht="15.75" thickTop="1" x14ac:dyDescent="0.25">
      <c r="A20" s="94" t="s">
        <v>54</v>
      </c>
      <c r="B20" s="94"/>
      <c r="C20" s="94"/>
      <c r="D20" s="94"/>
      <c r="E20" s="94"/>
      <c r="F20" s="94"/>
      <c r="G20" s="94"/>
      <c r="H20" s="94"/>
      <c r="I20" s="94"/>
      <c r="J20" s="40">
        <f>SUM(J13:J19)</f>
        <v>100</v>
      </c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</row>
    <row r="21" spans="1:57" x14ac:dyDescent="0.25">
      <c r="B21" s="52"/>
      <c r="C21" s="93"/>
      <c r="D21" s="93"/>
      <c r="E21" s="93"/>
      <c r="F21" s="93"/>
      <c r="G21" s="93"/>
      <c r="I21" s="9" t="s">
        <v>55</v>
      </c>
      <c r="J21" s="41">
        <f>J20*Z1</f>
        <v>6</v>
      </c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</row>
    <row r="22" spans="1:57" x14ac:dyDescent="0.25">
      <c r="B22" s="52"/>
      <c r="C22" s="93"/>
      <c r="D22" s="93"/>
      <c r="E22" s="93"/>
      <c r="F22" s="93"/>
      <c r="G22" s="93"/>
      <c r="I22" s="9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</row>
    <row r="23" spans="1:57" x14ac:dyDescent="0.25">
      <c r="B23" s="52"/>
      <c r="C23" s="93"/>
      <c r="D23" s="93"/>
      <c r="E23" s="93"/>
      <c r="F23" s="93"/>
      <c r="G23" s="93"/>
      <c r="I23" s="9" t="s">
        <v>68</v>
      </c>
      <c r="J23" s="41">
        <f>J20 - J21</f>
        <v>94</v>
      </c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</row>
    <row r="24" spans="1:57" x14ac:dyDescent="0.25"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</row>
    <row r="25" spans="1:57" ht="15.75" thickBot="1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</row>
    <row r="26" spans="1:57" ht="15.75" thickTop="1" x14ac:dyDescent="0.25">
      <c r="A26" s="49" t="s">
        <v>57</v>
      </c>
      <c r="B26">
        <f>B1</f>
        <v>260010</v>
      </c>
      <c r="D26" s="95" t="s">
        <v>70</v>
      </c>
      <c r="E26" s="95"/>
      <c r="G26" s="1" t="s">
        <v>53</v>
      </c>
      <c r="H26" s="96">
        <f ca="1">H1</f>
        <v>46148</v>
      </c>
      <c r="I26" s="96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</row>
    <row r="27" spans="1:57" x14ac:dyDescent="0.25"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</row>
    <row r="28" spans="1:57" x14ac:dyDescent="0.25">
      <c r="A28" s="49" t="s">
        <v>58</v>
      </c>
      <c r="G28" s="49" t="s">
        <v>59</v>
      </c>
      <c r="H28" s="88" t="str">
        <f>H3</f>
        <v>Central Labs Ltd.</v>
      </c>
      <c r="I28" s="88"/>
      <c r="J28" s="88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</row>
    <row r="29" spans="1:57" x14ac:dyDescent="0.25">
      <c r="A29" s="91" t="s">
        <v>0</v>
      </c>
      <c r="B29" s="91"/>
      <c r="C29" s="88" t="str">
        <f t="shared" ref="C29:C34" si="1">C4</f>
        <v>Bar N Ranch</v>
      </c>
      <c r="D29" s="88"/>
      <c r="E29" s="88"/>
      <c r="H29" s="88" t="str">
        <f>H4</f>
        <v>B5, 53-Burnt Park Drive</v>
      </c>
      <c r="I29" s="88"/>
      <c r="J29" s="88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</row>
    <row r="30" spans="1:57" x14ac:dyDescent="0.25">
      <c r="A30" s="91" t="s">
        <v>2</v>
      </c>
      <c r="B30" s="91"/>
      <c r="C30" s="88" t="str">
        <f t="shared" si="1"/>
        <v>Barry Bar</v>
      </c>
      <c r="D30" s="88"/>
      <c r="E30" s="88"/>
      <c r="H30" s="88" t="str">
        <f t="shared" ref="H30:H33" si="2">H5</f>
        <v>Red Deer, AB; T4P 0J7</v>
      </c>
      <c r="I30" s="88"/>
      <c r="J30" s="88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</row>
    <row r="31" spans="1:57" x14ac:dyDescent="0.25">
      <c r="A31" s="9"/>
      <c r="B31" s="9" t="s">
        <v>4</v>
      </c>
      <c r="C31" s="88" t="str">
        <f t="shared" si="1"/>
        <v>Box 32</v>
      </c>
      <c r="D31" s="88"/>
      <c r="E31" s="88"/>
      <c r="H31" s="88" t="str">
        <f t="shared" si="2"/>
        <v>Ph: (403) 348-8378</v>
      </c>
      <c r="I31" s="88"/>
      <c r="J31" s="88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</row>
    <row r="32" spans="1:57" x14ac:dyDescent="0.25">
      <c r="A32" s="91" t="s">
        <v>5</v>
      </c>
      <c r="B32" s="91"/>
      <c r="C32" s="88" t="str">
        <f t="shared" si="1"/>
        <v>Black Diamond</v>
      </c>
      <c r="D32" s="88"/>
      <c r="E32" s="88"/>
      <c r="H32" s="88" t="str">
        <f t="shared" si="2"/>
        <v>GST: 81583 0427 RT0001</v>
      </c>
      <c r="I32" s="88"/>
      <c r="J32" s="88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</row>
    <row r="33" spans="1:57" x14ac:dyDescent="0.25">
      <c r="A33" s="91" t="s">
        <v>6</v>
      </c>
      <c r="B33" s="91"/>
      <c r="C33" s="88" t="str">
        <f t="shared" si="1"/>
        <v>AB</v>
      </c>
      <c r="D33" s="88"/>
      <c r="E33" s="88"/>
      <c r="H33" s="88" t="str">
        <f t="shared" si="2"/>
        <v>Email: reporting@c-labs.ca</v>
      </c>
      <c r="I33" s="88"/>
      <c r="J33" s="88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</row>
    <row r="34" spans="1:57" x14ac:dyDescent="0.25">
      <c r="A34" s="91" t="s">
        <v>7</v>
      </c>
      <c r="B34" s="91"/>
      <c r="C34" s="88" t="str">
        <f t="shared" si="1"/>
        <v>T0B 1Z3</v>
      </c>
      <c r="D34" s="88"/>
      <c r="E34" s="88"/>
      <c r="H34" s="37"/>
      <c r="I34" s="37"/>
      <c r="J34" s="37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</row>
    <row r="35" spans="1:57" x14ac:dyDescent="0.25"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</row>
    <row r="36" spans="1:57" x14ac:dyDescent="0.25">
      <c r="A36" s="89" t="s">
        <v>9</v>
      </c>
      <c r="B36" s="89"/>
      <c r="C36" s="89"/>
      <c r="D36" s="89"/>
      <c r="E36" s="89"/>
      <c r="F36" s="89"/>
      <c r="G36" s="89"/>
      <c r="H36" s="89"/>
      <c r="I36" s="89"/>
      <c r="J36" s="89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</row>
    <row r="37" spans="1:57" x14ac:dyDescent="0.25">
      <c r="A37" s="38" t="s">
        <v>66</v>
      </c>
      <c r="B37" s="90" t="s">
        <v>67</v>
      </c>
      <c r="C37" s="90"/>
      <c r="D37" s="90"/>
      <c r="E37" s="90"/>
      <c r="F37" s="90"/>
      <c r="G37" s="90"/>
      <c r="H37" s="90"/>
      <c r="I37" s="39" t="s">
        <v>12</v>
      </c>
      <c r="J37" s="39" t="s">
        <v>68</v>
      </c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</row>
    <row r="38" spans="1:57" x14ac:dyDescent="0.25">
      <c r="A38">
        <f>A13</f>
        <v>0</v>
      </c>
      <c r="B38" s="84">
        <f>B13</f>
        <v>0</v>
      </c>
      <c r="C38" s="84"/>
      <c r="D38" s="84"/>
      <c r="E38" s="84"/>
      <c r="F38" s="84"/>
      <c r="G38" s="84"/>
      <c r="H38" s="84"/>
      <c r="I38" s="41">
        <f>I13</f>
        <v>0</v>
      </c>
      <c r="J38" s="41">
        <f>J13</f>
        <v>100</v>
      </c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</row>
    <row r="39" spans="1:57" x14ac:dyDescent="0.25">
      <c r="A39">
        <f t="shared" ref="A39:B44" si="3">A14</f>
        <v>0</v>
      </c>
      <c r="B39" s="84">
        <f t="shared" si="3"/>
        <v>0</v>
      </c>
      <c r="C39" s="84"/>
      <c r="D39" s="84"/>
      <c r="E39" s="84"/>
      <c r="F39" s="84"/>
      <c r="G39" s="84"/>
      <c r="H39" s="84"/>
      <c r="I39" s="41">
        <f t="shared" ref="I39:J44" si="4">I14</f>
        <v>0</v>
      </c>
      <c r="J39" s="41">
        <f t="shared" si="4"/>
        <v>0</v>
      </c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</row>
    <row r="40" spans="1:57" x14ac:dyDescent="0.25">
      <c r="A40">
        <f t="shared" si="3"/>
        <v>0</v>
      </c>
      <c r="B40" s="84">
        <f t="shared" si="3"/>
        <v>0</v>
      </c>
      <c r="C40" s="84"/>
      <c r="D40" s="84"/>
      <c r="E40" s="84"/>
      <c r="F40" s="84"/>
      <c r="G40" s="84"/>
      <c r="H40" s="84"/>
      <c r="I40" s="41">
        <f t="shared" si="4"/>
        <v>0</v>
      </c>
      <c r="J40" s="41">
        <f t="shared" si="4"/>
        <v>0</v>
      </c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</row>
    <row r="41" spans="1:57" x14ac:dyDescent="0.25">
      <c r="A41">
        <f t="shared" si="3"/>
        <v>0</v>
      </c>
      <c r="B41" s="84">
        <f t="shared" si="3"/>
        <v>0</v>
      </c>
      <c r="C41" s="84"/>
      <c r="D41" s="84"/>
      <c r="E41" s="84"/>
      <c r="F41" s="84"/>
      <c r="G41" s="84"/>
      <c r="H41" s="84"/>
      <c r="I41" s="41">
        <f t="shared" si="4"/>
        <v>0</v>
      </c>
      <c r="J41" s="41">
        <f t="shared" si="4"/>
        <v>0</v>
      </c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</row>
    <row r="42" spans="1:57" x14ac:dyDescent="0.25">
      <c r="A42">
        <f t="shared" si="3"/>
        <v>0</v>
      </c>
      <c r="B42" s="84">
        <f t="shared" si="3"/>
        <v>0</v>
      </c>
      <c r="C42" s="84"/>
      <c r="D42" s="84"/>
      <c r="E42" s="84"/>
      <c r="F42" s="84"/>
      <c r="G42" s="84"/>
      <c r="H42" s="84"/>
      <c r="I42" s="41">
        <f t="shared" si="4"/>
        <v>0</v>
      </c>
      <c r="J42" s="41">
        <f t="shared" si="4"/>
        <v>0</v>
      </c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</row>
    <row r="43" spans="1:57" x14ac:dyDescent="0.25">
      <c r="A43">
        <f t="shared" si="3"/>
        <v>0</v>
      </c>
      <c r="B43" s="84">
        <f t="shared" si="3"/>
        <v>0</v>
      </c>
      <c r="C43" s="84"/>
      <c r="D43" s="84"/>
      <c r="E43" s="84"/>
      <c r="F43" s="84"/>
      <c r="G43" s="84"/>
      <c r="H43" s="84"/>
      <c r="I43" s="41">
        <f t="shared" si="4"/>
        <v>0</v>
      </c>
      <c r="J43" s="41">
        <f t="shared" si="4"/>
        <v>0</v>
      </c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</row>
    <row r="44" spans="1:57" ht="15.75" thickBot="1" x14ac:dyDescent="0.3">
      <c r="A44">
        <f t="shared" si="3"/>
        <v>0</v>
      </c>
      <c r="B44" s="84">
        <f t="shared" si="3"/>
        <v>0</v>
      </c>
      <c r="C44" s="84"/>
      <c r="D44" s="84"/>
      <c r="E44" s="84"/>
      <c r="F44" s="84"/>
      <c r="G44" s="84"/>
      <c r="H44" s="84"/>
      <c r="I44" s="41">
        <f t="shared" si="4"/>
        <v>0</v>
      </c>
      <c r="J44" s="41">
        <f t="shared" si="4"/>
        <v>0</v>
      </c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</row>
    <row r="45" spans="1:57" ht="15.75" thickTop="1" x14ac:dyDescent="0.25">
      <c r="A45" s="94" t="s">
        <v>54</v>
      </c>
      <c r="B45" s="94"/>
      <c r="C45" s="94"/>
      <c r="D45" s="94"/>
      <c r="E45" s="94"/>
      <c r="F45" s="94"/>
      <c r="G45" s="94"/>
      <c r="H45" s="94"/>
      <c r="I45" s="94"/>
      <c r="J45" s="40">
        <f xml:space="preserve"> J20</f>
        <v>100</v>
      </c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</row>
    <row r="46" spans="1:57" ht="15" customHeight="1" x14ac:dyDescent="0.25">
      <c r="B46" s="53"/>
      <c r="C46" s="98" t="s">
        <v>69</v>
      </c>
      <c r="D46" s="99"/>
      <c r="E46" s="93"/>
      <c r="F46" s="97" t="s">
        <v>76</v>
      </c>
      <c r="G46" s="97"/>
      <c r="I46" s="9" t="s">
        <v>55</v>
      </c>
      <c r="J46" s="41">
        <f>J21</f>
        <v>6</v>
      </c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</row>
    <row r="47" spans="1:57" x14ac:dyDescent="0.25">
      <c r="B47" s="53"/>
      <c r="C47" s="99"/>
      <c r="D47" s="99"/>
      <c r="E47" s="93"/>
      <c r="F47" s="97"/>
      <c r="G47" s="97"/>
      <c r="I47" s="9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</row>
    <row r="48" spans="1:57" x14ac:dyDescent="0.25">
      <c r="B48" s="53"/>
      <c r="C48" s="99"/>
      <c r="D48" s="99"/>
      <c r="E48" s="93"/>
      <c r="F48" s="97"/>
      <c r="G48" s="97"/>
      <c r="I48" s="9" t="s">
        <v>68</v>
      </c>
      <c r="J48" s="41">
        <f>J23</f>
        <v>94</v>
      </c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</row>
    <row r="49" spans="1:57" x14ac:dyDescent="0.25"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</row>
    <row r="50" spans="1:5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</row>
    <row r="51" spans="1:57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</row>
    <row r="52" spans="1:57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</row>
    <row r="53" spans="1:57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</row>
    <row r="54" spans="1:57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</row>
    <row r="55" spans="1:57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</row>
    <row r="56" spans="1:57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</row>
    <row r="57" spans="1:57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</row>
    <row r="58" spans="1:57" x14ac:dyDescent="0.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</row>
    <row r="59" spans="1:57" x14ac:dyDescent="0.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</row>
    <row r="60" spans="1:57" x14ac:dyDescent="0.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</row>
    <row r="61" spans="1:57" x14ac:dyDescent="0.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</row>
    <row r="62" spans="1:57" x14ac:dyDescent="0.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</row>
    <row r="63" spans="1:57" x14ac:dyDescent="0.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</row>
    <row r="64" spans="1:57" x14ac:dyDescent="0.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</row>
    <row r="65" spans="1:37" x14ac:dyDescent="0.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</row>
    <row r="66" spans="1:37" x14ac:dyDescent="0.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</row>
    <row r="67" spans="1:37" x14ac:dyDescent="0.25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</row>
    <row r="68" spans="1:37" x14ac:dyDescent="0.25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</row>
    <row r="69" spans="1:37" x14ac:dyDescent="0.25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</row>
    <row r="70" spans="1:37" x14ac:dyDescent="0.25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</row>
    <row r="71" spans="1:37" x14ac:dyDescent="0.25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</row>
    <row r="72" spans="1:37" x14ac:dyDescent="0.25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</row>
    <row r="73" spans="1:37" x14ac:dyDescent="0.25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</row>
    <row r="74" spans="1:37" x14ac:dyDescent="0.25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</row>
    <row r="75" spans="1:37" x14ac:dyDescent="0.25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</row>
    <row r="76" spans="1:37" x14ac:dyDescent="0.25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</row>
    <row r="77" spans="1:37" x14ac:dyDescent="0.25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</row>
    <row r="78" spans="1:37" x14ac:dyDescent="0.25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</row>
    <row r="79" spans="1:37" x14ac:dyDescent="0.25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</row>
    <row r="80" spans="1:37" x14ac:dyDescent="0.25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</row>
    <row r="81" spans="1:37" x14ac:dyDescent="0.25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</row>
    <row r="82" spans="1:37" x14ac:dyDescent="0.25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</row>
    <row r="83" spans="1:37" x14ac:dyDescent="0.25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</row>
    <row r="84" spans="1:37" x14ac:dyDescent="0.25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</row>
    <row r="85" spans="1:37" x14ac:dyDescent="0.25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</row>
    <row r="86" spans="1:37" x14ac:dyDescent="0.25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</row>
    <row r="87" spans="1:37" x14ac:dyDescent="0.25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</row>
    <row r="88" spans="1:37" x14ac:dyDescent="0.25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</row>
    <row r="89" spans="1:37" x14ac:dyDescent="0.25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</row>
    <row r="90" spans="1:37" x14ac:dyDescent="0.25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</row>
    <row r="91" spans="1:37" x14ac:dyDescent="0.25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</row>
    <row r="92" spans="1:37" x14ac:dyDescent="0.25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</row>
    <row r="93" spans="1:37" x14ac:dyDescent="0.25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</row>
    <row r="94" spans="1:37" x14ac:dyDescent="0.25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</row>
    <row r="95" spans="1:37" x14ac:dyDescent="0.25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</row>
    <row r="96" spans="1:37" x14ac:dyDescent="0.25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</row>
    <row r="97" spans="1:37" x14ac:dyDescent="0.25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</row>
    <row r="98" spans="1:37" x14ac:dyDescent="0.25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</row>
    <row r="99" spans="1:37" x14ac:dyDescent="0.25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</row>
    <row r="100" spans="1:37" x14ac:dyDescent="0.25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</row>
    <row r="101" spans="1:37" x14ac:dyDescent="0.25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</row>
    <row r="102" spans="1:37" x14ac:dyDescent="0.25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</row>
    <row r="103" spans="1:37" x14ac:dyDescent="0.25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</row>
    <row r="104" spans="1:37" x14ac:dyDescent="0.25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</row>
    <row r="105" spans="1:37" x14ac:dyDescent="0.25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</row>
  </sheetData>
  <mergeCells count="63">
    <mergeCell ref="F46:G48"/>
    <mergeCell ref="E46:E48"/>
    <mergeCell ref="C46:D48"/>
    <mergeCell ref="A32:B32"/>
    <mergeCell ref="A33:B33"/>
    <mergeCell ref="B44:H44"/>
    <mergeCell ref="H32:J32"/>
    <mergeCell ref="H33:J33"/>
    <mergeCell ref="C33:E33"/>
    <mergeCell ref="A45:I45"/>
    <mergeCell ref="B38:H38"/>
    <mergeCell ref="B39:H39"/>
    <mergeCell ref="B40:H40"/>
    <mergeCell ref="B41:H41"/>
    <mergeCell ref="B42:H42"/>
    <mergeCell ref="B43:H43"/>
    <mergeCell ref="A4:B4"/>
    <mergeCell ref="H28:J28"/>
    <mergeCell ref="H29:J29"/>
    <mergeCell ref="H30:J30"/>
    <mergeCell ref="C8:E8"/>
    <mergeCell ref="H8:J8"/>
    <mergeCell ref="C9:E9"/>
    <mergeCell ref="A5:B5"/>
    <mergeCell ref="A7:B7"/>
    <mergeCell ref="A8:B8"/>
    <mergeCell ref="A9:B9"/>
    <mergeCell ref="A11:J11"/>
    <mergeCell ref="B12:H12"/>
    <mergeCell ref="B13:H13"/>
    <mergeCell ref="B14:H14"/>
    <mergeCell ref="H26:I26"/>
    <mergeCell ref="B15:H15"/>
    <mergeCell ref="F21:G23"/>
    <mergeCell ref="E21:E23"/>
    <mergeCell ref="C21:D23"/>
    <mergeCell ref="C30:E30"/>
    <mergeCell ref="A30:B30"/>
    <mergeCell ref="B16:H16"/>
    <mergeCell ref="B17:H17"/>
    <mergeCell ref="B18:H18"/>
    <mergeCell ref="B19:H19"/>
    <mergeCell ref="A20:I20"/>
    <mergeCell ref="A29:B29"/>
    <mergeCell ref="D26:E26"/>
    <mergeCell ref="C29:E29"/>
    <mergeCell ref="H1:I1"/>
    <mergeCell ref="C4:E4"/>
    <mergeCell ref="C5:E5"/>
    <mergeCell ref="C6:E6"/>
    <mergeCell ref="C7:E7"/>
    <mergeCell ref="H4:J4"/>
    <mergeCell ref="H3:J3"/>
    <mergeCell ref="H6:J6"/>
    <mergeCell ref="H7:J7"/>
    <mergeCell ref="H5:J5"/>
    <mergeCell ref="C31:E31"/>
    <mergeCell ref="C32:E32"/>
    <mergeCell ref="C34:E34"/>
    <mergeCell ref="A36:J36"/>
    <mergeCell ref="B37:H37"/>
    <mergeCell ref="A34:B34"/>
    <mergeCell ref="H31:J3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2">
          <controlPr defaultSize="0" autoLine="0" autoPict="0" r:id="rId4">
            <anchor moveWithCells="1">
              <from>
                <xdr:col>5</xdr:col>
                <xdr:colOff>28575</xdr:colOff>
                <xdr:row>20</xdr:row>
                <xdr:rowOff>28575</xdr:rowOff>
              </from>
              <to>
                <xdr:col>6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5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autoPict="0" r:id="rId6">
            <anchor moveWithCells="1">
              <from>
                <xdr:col>2</xdr:col>
                <xdr:colOff>28575</xdr:colOff>
                <xdr:row>20</xdr:row>
                <xdr:rowOff>28575</xdr:rowOff>
              </from>
              <to>
                <xdr:col>3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18943-F6F4-4F2A-B168-482DB8812929}">
  <sheetPr codeName="Sheet7"/>
  <dimension ref="A1:AB43"/>
  <sheetViews>
    <sheetView view="pageBreakPreview" zoomScaleNormal="100" zoomScaleSheetLayoutView="100" workbookViewId="0">
      <selection activeCell="M30" sqref="M30"/>
    </sheetView>
  </sheetViews>
  <sheetFormatPr defaultRowHeight="15" x14ac:dyDescent="0.25"/>
  <cols>
    <col min="1" max="1" width="9.140625" customWidth="1"/>
    <col min="3" max="3" width="9.140625" customWidth="1"/>
    <col min="6" max="6" width="4.42578125" customWidth="1"/>
    <col min="8" max="8" width="8.85546875" customWidth="1"/>
    <col min="9" max="9" width="9.7109375" customWidth="1"/>
    <col min="10" max="10" width="12.28515625" customWidth="1"/>
  </cols>
  <sheetData>
    <row r="1" spans="1:28" x14ac:dyDescent="0.25">
      <c r="A1" t="s">
        <v>57</v>
      </c>
      <c r="B1">
        <v>260017</v>
      </c>
      <c r="D1" t="s">
        <v>53</v>
      </c>
      <c r="E1" s="92">
        <f ca="1">TODAY()</f>
        <v>46148</v>
      </c>
      <c r="F1" s="88"/>
      <c r="G1" s="108"/>
      <c r="H1" s="109"/>
      <c r="I1" s="109"/>
      <c r="J1" s="110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6">
        <v>0.06</v>
      </c>
      <c r="AA1" s="65"/>
      <c r="AB1" s="65"/>
    </row>
    <row r="2" spans="1:28" ht="29.45" customHeight="1" x14ac:dyDescent="0.25">
      <c r="G2" s="111"/>
      <c r="H2" s="84"/>
      <c r="I2" s="84"/>
      <c r="J2" s="112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</row>
    <row r="3" spans="1:28" x14ac:dyDescent="0.25">
      <c r="A3" s="116" t="s">
        <v>58</v>
      </c>
      <c r="B3" s="116"/>
      <c r="C3" s="116"/>
      <c r="D3" s="116"/>
      <c r="E3" s="116"/>
      <c r="G3" s="111"/>
      <c r="H3" s="84"/>
      <c r="I3" s="84"/>
      <c r="J3" s="112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</row>
    <row r="4" spans="1:28" ht="15.75" thickBot="1" x14ac:dyDescent="0.3">
      <c r="B4" s="9" t="s">
        <v>0</v>
      </c>
      <c r="C4" s="88" t="str">
        <f>FrontPage!C5</f>
        <v>Bar N Ranch</v>
      </c>
      <c r="D4" s="88"/>
      <c r="E4" s="88"/>
      <c r="G4" s="113"/>
      <c r="H4" s="114"/>
      <c r="I4" s="114"/>
      <c r="J4" s="11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</row>
    <row r="5" spans="1:28" x14ac:dyDescent="0.25">
      <c r="B5" s="9" t="s">
        <v>2</v>
      </c>
      <c r="C5" s="88" t="str">
        <f>FrontPage!C6</f>
        <v>Barry Bar</v>
      </c>
      <c r="D5" s="88"/>
      <c r="E5" s="88"/>
      <c r="G5" t="s">
        <v>59</v>
      </c>
      <c r="H5" t="s">
        <v>60</v>
      </c>
    </row>
    <row r="6" spans="1:28" x14ac:dyDescent="0.25">
      <c r="B6" s="9" t="s">
        <v>4</v>
      </c>
      <c r="C6" s="88" t="str">
        <f>FrontPage!C7</f>
        <v>Box 32</v>
      </c>
      <c r="D6" s="88"/>
      <c r="E6" s="88"/>
      <c r="H6" t="s">
        <v>61</v>
      </c>
    </row>
    <row r="7" spans="1:28" x14ac:dyDescent="0.25">
      <c r="B7" s="9" t="s">
        <v>5</v>
      </c>
      <c r="C7" s="88" t="str">
        <f>FrontPage!C8</f>
        <v>Black Diamond</v>
      </c>
      <c r="D7" s="88"/>
      <c r="E7" s="88"/>
      <c r="H7" t="s">
        <v>62</v>
      </c>
    </row>
    <row r="8" spans="1:28" x14ac:dyDescent="0.25">
      <c r="B8" s="9" t="s">
        <v>6</v>
      </c>
      <c r="C8" s="88" t="str">
        <f>FrontPage!C9</f>
        <v>AB</v>
      </c>
      <c r="D8" s="88"/>
      <c r="E8" s="88"/>
      <c r="H8" t="s">
        <v>63</v>
      </c>
    </row>
    <row r="9" spans="1:28" ht="15.75" thickBot="1" x14ac:dyDescent="0.3">
      <c r="B9" s="9" t="s">
        <v>7</v>
      </c>
      <c r="C9" s="88" t="str">
        <f>FrontPage!C10</f>
        <v>T0B 1Z3</v>
      </c>
      <c r="D9" s="88"/>
      <c r="E9" s="88"/>
      <c r="H9" t="s">
        <v>65</v>
      </c>
    </row>
    <row r="10" spans="1:28" ht="13.15" customHeight="1" thickTop="1" x14ac:dyDescent="0.25">
      <c r="A10" s="61" t="s">
        <v>9</v>
      </c>
      <c r="B10" s="61"/>
      <c r="C10" s="61"/>
      <c r="D10" s="61"/>
      <c r="E10" s="95" t="s">
        <v>89</v>
      </c>
      <c r="F10" s="95"/>
      <c r="G10" s="61"/>
      <c r="H10" s="61"/>
      <c r="I10" s="61"/>
      <c r="J10" s="61"/>
    </row>
    <row r="11" spans="1:28" x14ac:dyDescent="0.25">
      <c r="A11" s="38" t="s">
        <v>66</v>
      </c>
      <c r="B11" s="90" t="s">
        <v>67</v>
      </c>
      <c r="C11" s="90"/>
      <c r="D11" s="90"/>
      <c r="E11" s="90"/>
      <c r="F11" s="90"/>
      <c r="G11" s="90"/>
      <c r="H11" s="90"/>
      <c r="I11" s="39" t="s">
        <v>12</v>
      </c>
      <c r="J11" s="39" t="s">
        <v>68</v>
      </c>
    </row>
    <row r="12" spans="1:28" x14ac:dyDescent="0.25">
      <c r="A12">
        <v>1</v>
      </c>
      <c r="B12" s="84" t="s">
        <v>16</v>
      </c>
      <c r="C12" s="84"/>
      <c r="D12" s="84"/>
      <c r="E12" s="84"/>
      <c r="F12" s="84"/>
      <c r="G12" s="84"/>
      <c r="H12" s="84"/>
      <c r="I12" s="41">
        <v>240</v>
      </c>
      <c r="J12" s="41">
        <f xml:space="preserve"> (A12 * I12)</f>
        <v>240</v>
      </c>
    </row>
    <row r="13" spans="1:28" x14ac:dyDescent="0.25">
      <c r="A13">
        <v>2</v>
      </c>
      <c r="B13" s="84" t="s">
        <v>17</v>
      </c>
      <c r="C13" s="84"/>
      <c r="D13" s="84"/>
      <c r="E13" s="84"/>
      <c r="F13" s="84"/>
      <c r="G13" s="84"/>
      <c r="H13" s="84"/>
      <c r="I13" s="41">
        <v>150</v>
      </c>
      <c r="J13" s="41">
        <f t="shared" ref="J13:J16" si="0" xml:space="preserve"> (A13 * I13)</f>
        <v>300</v>
      </c>
    </row>
    <row r="14" spans="1:28" x14ac:dyDescent="0.25">
      <c r="A14">
        <v>4</v>
      </c>
      <c r="B14" s="84" t="s">
        <v>18</v>
      </c>
      <c r="C14" s="84"/>
      <c r="D14" s="84"/>
      <c r="E14" s="84"/>
      <c r="F14" s="84"/>
      <c r="G14" s="84"/>
      <c r="H14" s="84"/>
      <c r="I14" s="41">
        <v>195</v>
      </c>
      <c r="J14" s="41">
        <f t="shared" si="0"/>
        <v>780</v>
      </c>
    </row>
    <row r="15" spans="1:28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</row>
    <row r="16" spans="1:28" ht="15.75" thickBot="1" x14ac:dyDescent="0.3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</row>
    <row r="17" spans="1:10" ht="15.75" thickTop="1" x14ac:dyDescent="0.25">
      <c r="A17" s="94" t="s">
        <v>54</v>
      </c>
      <c r="B17" s="94"/>
      <c r="C17" s="94"/>
      <c r="D17" s="94"/>
      <c r="E17" s="94"/>
      <c r="F17" s="94"/>
      <c r="G17" s="94"/>
      <c r="H17" s="94"/>
      <c r="I17" s="94"/>
      <c r="J17" s="64">
        <f>SUM(J12:J16)</f>
        <v>1320</v>
      </c>
    </row>
    <row r="18" spans="1:10" x14ac:dyDescent="0.25">
      <c r="B18" s="93"/>
      <c r="C18" s="93"/>
      <c r="D18" s="123" t="s">
        <v>86</v>
      </c>
      <c r="E18" s="93"/>
      <c r="F18" s="93"/>
      <c r="G18" s="91" t="s">
        <v>84</v>
      </c>
      <c r="H18" s="91"/>
      <c r="I18" s="91"/>
      <c r="J18" s="41">
        <f>J17*Z1</f>
        <v>79.2</v>
      </c>
    </row>
    <row r="19" spans="1:10" ht="6" customHeight="1" thickBot="1" x14ac:dyDescent="0.3">
      <c r="B19" s="93"/>
      <c r="C19" s="93"/>
      <c r="D19" s="123"/>
      <c r="E19" s="93"/>
      <c r="F19" s="93"/>
      <c r="I19" s="9"/>
    </row>
    <row r="20" spans="1:10" ht="15.75" thickBot="1" x14ac:dyDescent="0.3">
      <c r="B20" s="93"/>
      <c r="C20" s="93"/>
      <c r="D20" s="123"/>
      <c r="E20" s="93"/>
      <c r="F20" s="93"/>
      <c r="I20" s="63" t="s">
        <v>68</v>
      </c>
      <c r="J20" s="62">
        <f>SUM(J17:J18)</f>
        <v>1399.2</v>
      </c>
    </row>
    <row r="22" spans="1:10" ht="15.75" thickBot="1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</row>
    <row r="23" spans="1:10" ht="15.75" thickTop="1" x14ac:dyDescent="0.25">
      <c r="A23" t="s">
        <v>57</v>
      </c>
      <c r="B23">
        <f>B1</f>
        <v>260017</v>
      </c>
      <c r="D23" t="s">
        <v>53</v>
      </c>
      <c r="E23">
        <f ca="1">E1</f>
        <v>46148</v>
      </c>
    </row>
    <row r="24" spans="1:10" ht="7.15" customHeight="1" x14ac:dyDescent="0.25"/>
    <row r="25" spans="1:10" x14ac:dyDescent="0.25">
      <c r="A25" s="116" t="s">
        <v>58</v>
      </c>
      <c r="B25" s="116"/>
      <c r="C25" s="116"/>
      <c r="D25" s="116"/>
      <c r="E25" s="116"/>
      <c r="G25" t="s">
        <v>59</v>
      </c>
      <c r="H25" t="s">
        <v>60</v>
      </c>
    </row>
    <row r="26" spans="1:10" x14ac:dyDescent="0.25">
      <c r="B26" s="9" t="s">
        <v>0</v>
      </c>
      <c r="C26" s="88" t="str">
        <f t="shared" ref="C26:C31" si="1">C4</f>
        <v>Bar N Ranch</v>
      </c>
      <c r="D26" s="88"/>
      <c r="E26" s="88"/>
      <c r="H26" t="s">
        <v>61</v>
      </c>
    </row>
    <row r="27" spans="1:10" x14ac:dyDescent="0.25">
      <c r="B27" s="9" t="s">
        <v>2</v>
      </c>
      <c r="C27" s="88" t="str">
        <f t="shared" si="1"/>
        <v>Barry Bar</v>
      </c>
      <c r="D27" s="88"/>
      <c r="E27" s="88"/>
      <c r="H27" t="s">
        <v>62</v>
      </c>
    </row>
    <row r="28" spans="1:10" x14ac:dyDescent="0.25">
      <c r="B28" s="9" t="s">
        <v>4</v>
      </c>
      <c r="C28" s="88" t="str">
        <f t="shared" si="1"/>
        <v>Box 32</v>
      </c>
      <c r="D28" s="88"/>
      <c r="E28" s="88"/>
      <c r="H28" t="s">
        <v>63</v>
      </c>
    </row>
    <row r="29" spans="1:10" x14ac:dyDescent="0.25">
      <c r="B29" s="9" t="s">
        <v>5</v>
      </c>
      <c r="C29" s="88" t="str">
        <f t="shared" si="1"/>
        <v>Black Diamond</v>
      </c>
      <c r="D29" s="88"/>
      <c r="E29" s="88"/>
      <c r="H29" t="s">
        <v>64</v>
      </c>
    </row>
    <row r="30" spans="1:10" x14ac:dyDescent="0.25">
      <c r="B30" s="9" t="s">
        <v>6</v>
      </c>
      <c r="C30" s="88" t="str">
        <f t="shared" si="1"/>
        <v>AB</v>
      </c>
      <c r="D30" s="88"/>
      <c r="E30" s="88"/>
      <c r="H30" t="s">
        <v>65</v>
      </c>
    </row>
    <row r="31" spans="1:10" ht="15.75" thickBot="1" x14ac:dyDescent="0.3">
      <c r="B31" s="9" t="s">
        <v>7</v>
      </c>
      <c r="C31" s="88" t="str">
        <f t="shared" si="1"/>
        <v>T0B 1Z3</v>
      </c>
      <c r="D31" s="88"/>
      <c r="E31" s="88"/>
    </row>
    <row r="32" spans="1:10" ht="12.6" customHeight="1" thickTop="1" x14ac:dyDescent="0.25">
      <c r="A32" s="61" t="s">
        <v>9</v>
      </c>
      <c r="B32" s="61"/>
      <c r="C32" s="61"/>
      <c r="D32" s="61"/>
      <c r="E32" s="95" t="s">
        <v>88</v>
      </c>
      <c r="F32" s="95"/>
      <c r="G32" s="61"/>
      <c r="H32" s="61"/>
      <c r="I32" s="61"/>
      <c r="J32" s="61"/>
    </row>
    <row r="33" spans="1:10" x14ac:dyDescent="0.25">
      <c r="A33" s="38" t="s">
        <v>66</v>
      </c>
      <c r="B33" s="90" t="s">
        <v>67</v>
      </c>
      <c r="C33" s="90"/>
      <c r="D33" s="90"/>
      <c r="E33" s="90"/>
      <c r="F33" s="90"/>
      <c r="G33" s="90"/>
      <c r="H33" s="90"/>
      <c r="I33" s="39" t="s">
        <v>12</v>
      </c>
      <c r="J33" s="39" t="s">
        <v>68</v>
      </c>
    </row>
    <row r="34" spans="1:10" x14ac:dyDescent="0.25">
      <c r="A34">
        <f t="shared" ref="A34:B38" si="2">A12</f>
        <v>1</v>
      </c>
      <c r="B34" s="84" t="str">
        <f t="shared" si="2"/>
        <v>Potable</v>
      </c>
      <c r="C34" s="84"/>
      <c r="D34" s="84"/>
      <c r="E34" s="84"/>
      <c r="F34" s="84"/>
      <c r="G34" s="84"/>
      <c r="H34" s="84"/>
      <c r="I34" s="41">
        <f t="shared" ref="I34:J38" si="3">I12</f>
        <v>240</v>
      </c>
      <c r="J34" s="41">
        <f t="shared" si="3"/>
        <v>240</v>
      </c>
    </row>
    <row r="35" spans="1:10" x14ac:dyDescent="0.25">
      <c r="A35">
        <f t="shared" si="2"/>
        <v>2</v>
      </c>
      <c r="B35" s="84" t="str">
        <f t="shared" si="2"/>
        <v>Total/E.Coli</v>
      </c>
      <c r="C35" s="84"/>
      <c r="D35" s="84"/>
      <c r="E35" s="84"/>
      <c r="F35" s="84"/>
      <c r="G35" s="84"/>
      <c r="H35" s="84"/>
      <c r="I35" s="41">
        <f t="shared" si="3"/>
        <v>150</v>
      </c>
      <c r="J35" s="41">
        <f t="shared" si="3"/>
        <v>300</v>
      </c>
    </row>
    <row r="36" spans="1:10" x14ac:dyDescent="0.25">
      <c r="A36">
        <f t="shared" si="2"/>
        <v>4</v>
      </c>
      <c r="B36" s="84" t="str">
        <f t="shared" si="2"/>
        <v>Potable Package</v>
      </c>
      <c r="C36" s="84"/>
      <c r="D36" s="84"/>
      <c r="E36" s="84"/>
      <c r="F36" s="84"/>
      <c r="G36" s="84"/>
      <c r="H36" s="84"/>
      <c r="I36" s="41">
        <f t="shared" si="3"/>
        <v>195</v>
      </c>
      <c r="J36" s="41">
        <f t="shared" si="3"/>
        <v>780</v>
      </c>
    </row>
    <row r="37" spans="1:10" x14ac:dyDescent="0.25">
      <c r="A37">
        <f t="shared" si="2"/>
        <v>0</v>
      </c>
      <c r="B37" s="84">
        <f t="shared" si="2"/>
        <v>0</v>
      </c>
      <c r="C37" s="84"/>
      <c r="D37" s="84"/>
      <c r="E37" s="84"/>
      <c r="F37" s="84"/>
      <c r="G37" s="84"/>
      <c r="H37" s="84"/>
      <c r="I37" s="41">
        <f t="shared" si="3"/>
        <v>0</v>
      </c>
      <c r="J37" s="41">
        <f t="shared" si="3"/>
        <v>0</v>
      </c>
    </row>
    <row r="38" spans="1:10" ht="15.75" thickBot="1" x14ac:dyDescent="0.3">
      <c r="A38">
        <f t="shared" si="2"/>
        <v>0</v>
      </c>
      <c r="B38" s="84">
        <f t="shared" si="2"/>
        <v>0</v>
      </c>
      <c r="C38" s="84"/>
      <c r="D38" s="84"/>
      <c r="E38" s="84"/>
      <c r="F38" s="84"/>
      <c r="G38" s="84"/>
      <c r="H38" s="84"/>
      <c r="I38" s="41">
        <f t="shared" si="3"/>
        <v>0</v>
      </c>
      <c r="J38" s="41">
        <f t="shared" si="3"/>
        <v>0</v>
      </c>
    </row>
    <row r="39" spans="1:10" ht="16.5" thickTop="1" thickBot="1" x14ac:dyDescent="0.3">
      <c r="A39" s="94" t="s">
        <v>54</v>
      </c>
      <c r="B39" s="94"/>
      <c r="C39" s="94"/>
      <c r="D39" s="94"/>
      <c r="E39" s="94"/>
      <c r="F39" s="94"/>
      <c r="G39" s="94"/>
      <c r="H39" s="94"/>
      <c r="I39" s="94"/>
      <c r="J39" s="64">
        <f>J17</f>
        <v>1320</v>
      </c>
    </row>
    <row r="40" spans="1:10" x14ac:dyDescent="0.25">
      <c r="B40" s="101" t="s">
        <v>87</v>
      </c>
      <c r="C40" s="102"/>
      <c r="D40" s="100" t="s">
        <v>86</v>
      </c>
      <c r="E40" s="117" t="s">
        <v>85</v>
      </c>
      <c r="F40" s="118"/>
      <c r="G40" s="107" t="s">
        <v>84</v>
      </c>
      <c r="H40" s="91"/>
      <c r="I40" s="91"/>
      <c r="J40" s="41">
        <f>J18</f>
        <v>79.2</v>
      </c>
    </row>
    <row r="41" spans="1:10" ht="6" customHeight="1" x14ac:dyDescent="0.25">
      <c r="B41" s="103"/>
      <c r="C41" s="104"/>
      <c r="D41" s="100"/>
      <c r="E41" s="119"/>
      <c r="F41" s="120"/>
      <c r="I41" s="9"/>
    </row>
    <row r="42" spans="1:10" ht="15.75" thickBot="1" x14ac:dyDescent="0.3">
      <c r="B42" s="105"/>
      <c r="C42" s="106"/>
      <c r="D42" s="100"/>
      <c r="E42" s="121"/>
      <c r="F42" s="122"/>
      <c r="I42" s="9" t="s">
        <v>68</v>
      </c>
      <c r="J42" s="41">
        <f>J20</f>
        <v>1399.2</v>
      </c>
    </row>
    <row r="43" spans="1:10" ht="4.5" customHeight="1" x14ac:dyDescent="0.25"/>
  </sheetData>
  <mergeCells count="40">
    <mergeCell ref="B16:H16"/>
    <mergeCell ref="B18:C20"/>
    <mergeCell ref="A39:I39"/>
    <mergeCell ref="B34:H34"/>
    <mergeCell ref="B35:H35"/>
    <mergeCell ref="B36:H36"/>
    <mergeCell ref="B37:H37"/>
    <mergeCell ref="B38:H38"/>
    <mergeCell ref="A3:E3"/>
    <mergeCell ref="A25:E25"/>
    <mergeCell ref="E40:F42"/>
    <mergeCell ref="D18:D20"/>
    <mergeCell ref="E1:F1"/>
    <mergeCell ref="E32:F32"/>
    <mergeCell ref="E18:F20"/>
    <mergeCell ref="A17:I17"/>
    <mergeCell ref="C28:E28"/>
    <mergeCell ref="C29:E29"/>
    <mergeCell ref="C30:E30"/>
    <mergeCell ref="C31:E31"/>
    <mergeCell ref="C26:E26"/>
    <mergeCell ref="C27:E27"/>
    <mergeCell ref="E10:F10"/>
    <mergeCell ref="G18:I18"/>
    <mergeCell ref="D40:D42"/>
    <mergeCell ref="B33:H33"/>
    <mergeCell ref="C4:E4"/>
    <mergeCell ref="C5:E5"/>
    <mergeCell ref="C6:E6"/>
    <mergeCell ref="C7:E7"/>
    <mergeCell ref="C8:E8"/>
    <mergeCell ref="C9:E9"/>
    <mergeCell ref="B40:C42"/>
    <mergeCell ref="B15:H15"/>
    <mergeCell ref="B11:H11"/>
    <mergeCell ref="B12:H12"/>
    <mergeCell ref="B13:H13"/>
    <mergeCell ref="B14:H14"/>
    <mergeCell ref="G40:I40"/>
    <mergeCell ref="G1:J4"/>
  </mergeCells>
  <pageMargins left="0.7" right="0.7" top="0.75" bottom="0.75" header="0.3" footer="0.3"/>
  <pageSetup scale="97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Fill="0" autoLine="0" r:id="rId5">
            <anchor moveWithCells="1">
              <from>
                <xdr:col>3</xdr:col>
                <xdr:colOff>390525</xdr:colOff>
                <xdr:row>17</xdr:row>
                <xdr:rowOff>9525</xdr:rowOff>
              </from>
              <to>
                <xdr:col>6</xdr:col>
                <xdr:colOff>28575</xdr:colOff>
                <xdr:row>20</xdr:row>
                <xdr:rowOff>0</xdr:rowOff>
              </to>
            </anchor>
          </controlPr>
        </control>
      </mc:Choice>
      <mc:Fallback>
        <control shapeId="6145" r:id="rId4" name="CommandButton1"/>
      </mc:Fallback>
    </mc:AlternateContent>
    <mc:AlternateContent xmlns:mc="http://schemas.openxmlformats.org/markup-compatibility/2006">
      <mc:Choice Requires="x14">
        <control shapeId="6146" r:id="rId6" name="CommandButton2">
          <controlPr defaultSize="0" autoFill="0" autoLine="0" autoPict="0" r:id="rId7">
            <anchor moveWithCells="1">
              <from>
                <xdr:col>1</xdr:col>
                <xdr:colOff>57150</xdr:colOff>
                <xdr:row>16</xdr:row>
                <xdr:rowOff>200025</xdr:rowOff>
              </from>
              <to>
                <xdr:col>2</xdr:col>
                <xdr:colOff>600075</xdr:colOff>
                <xdr:row>20</xdr:row>
                <xdr:rowOff>9525</xdr:rowOff>
              </to>
            </anchor>
          </controlPr>
        </control>
      </mc:Choice>
      <mc:Fallback>
        <control shapeId="614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FrontPage</vt:lpstr>
      <vt:lpstr>Customers&amp;Prices</vt:lpstr>
      <vt:lpstr>Graphics</vt:lpstr>
      <vt:lpstr>Transactions</vt:lpstr>
      <vt:lpstr>Invoice(old)</vt:lpstr>
      <vt:lpstr>Invoice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Force</dc:creator>
  <cp:lastModifiedBy>Force</cp:lastModifiedBy>
  <dcterms:created xsi:type="dcterms:W3CDTF">2015-06-05T18:17:20Z</dcterms:created>
  <dcterms:modified xsi:type="dcterms:W3CDTF">2026-05-06T08:44:19Z</dcterms:modified>
</cp:coreProperties>
</file>