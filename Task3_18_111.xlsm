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FE34FB44-829E-46F7-A29C-1DD5920BF481}" xr6:coauthVersionLast="47" xr6:coauthVersionMax="47" xr10:uidLastSave="{00000000-0000-0000-0000-000000000000}"/>
  <bookViews>
    <workbookView xWindow="780" yWindow="780" windowWidth="21600" windowHeight="11295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<sst xmlns="http://schemas.openxmlformats.org/spreadsheetml/2006/main" count="301" uniqueCount="90">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</sst>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7" borderId="0" xfId="0" applyFont="1" applyFill="1" applyAlignment="1">
      <alignment horizontal="right" vertical="center"/>
    </xf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6" fontId="35" fillId="15" borderId="1" xfId="0" applyNumberFormat="1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123825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293404</xdr:rowOff>
    </xdr:from>
    <xdr:to>
      <xdr:col>5</xdr:col>
      <xdr:colOff>171448</xdr:colOff>
      <xdr:row>26</xdr:row>
      <xdr:rowOff>561976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25" workbookViewId="0">
      <selection activeCell="J16" sqref="J16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78"/>
      <c r="B1" s="76"/>
      <c r="C1" s="77"/>
      <c r="D1" s="5"/>
      <c r="E1" s="5"/>
      <c r="F1" s="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78"/>
      <c r="B2" s="77"/>
      <c r="C2" s="77"/>
      <c r="D2" s="45" t="s">
        <v>71</v>
      </c>
      <c r="E2" s="122">
        <v>12345</v>
      </c>
      <c r="F2" s="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1" t="s">
        <v>73</v>
      </c>
      <c r="D3" s="2"/>
      <c r="E3" s="2"/>
      <c r="F3" s="2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5"/>
      <c r="B4" s="4"/>
      <c r="C4" s="46" t="s">
        <v>8</v>
      </c>
      <c r="D4" s="4"/>
      <c r="E4" s="2"/>
      <c r="F4" s="2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5"/>
      <c r="B5" s="32" t="s">
        <v>0</v>
      </c>
      <c r="C5" s="33" t="s">
        <v>82</v>
      </c>
      <c r="D5" s="30"/>
      <c r="E5" s="2"/>
      <c r="F5" s="2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5"/>
      <c r="B6" s="32" t="s">
        <v>2</v>
      </c>
      <c r="C6" s="34" t="s">
        <v>83</v>
      </c>
      <c r="D6" s="30"/>
      <c r="E6" s="2"/>
      <c r="F6" s="2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5"/>
      <c r="B7" s="32" t="s">
        <v>4</v>
      </c>
      <c r="C7" s="34" t="s">
        <v>44</v>
      </c>
      <c r="D7" s="30"/>
      <c r="E7" s="2"/>
      <c r="F7" s="2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5"/>
      <c r="B8" s="32" t="s">
        <v>5</v>
      </c>
      <c r="C8" s="35" t="s">
        <v>45</v>
      </c>
      <c r="D8" s="30"/>
      <c r="E8" s="2"/>
      <c r="F8" s="2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5"/>
      <c r="B9" s="32" t="s">
        <v>6</v>
      </c>
      <c r="C9" s="36" t="s">
        <v>40</v>
      </c>
      <c r="D9" s="30"/>
      <c r="E9" s="2"/>
      <c r="F9" s="2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5"/>
      <c r="B10" s="32" t="s">
        <v>7</v>
      </c>
      <c r="C10" s="36" t="s">
        <v>46</v>
      </c>
      <c r="D10" s="30"/>
      <c r="E10" s="2"/>
      <c r="F10" s="2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5"/>
      <c r="B11" s="30"/>
      <c r="C11" s="31"/>
      <c r="D11" s="30"/>
      <c r="E11" s="2"/>
      <c r="F11" s="2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5"/>
      <c r="B12" s="2"/>
      <c r="C12" s="2"/>
      <c r="D12" s="2"/>
      <c r="E12" s="2"/>
      <c r="F12" s="2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47"/>
      <c r="B13" s="47"/>
      <c r="C13" s="47"/>
      <c r="D13" s="47"/>
      <c r="E13" s="47"/>
      <c r="F13" s="47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50" t="s">
        <v>72</v>
      </c>
      <c r="D14" s="4"/>
      <c r="E14" s="4"/>
      <c r="F14" s="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8" t="s">
        <v>16</v>
      </c>
      <c r="C15" s="69" t="s">
        <v>74</v>
      </c>
      <c r="D15" s="70" t="s">
        <v>75</v>
      </c>
      <c r="E15" s="4"/>
      <c r="F15" s="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1"/>
      <c r="C16" s="72"/>
      <c r="D16" s="71"/>
      <c r="E16" s="4"/>
      <c r="F16" s="4"/>
      <c r="H16" s="44"/>
      <c r="I16" s="52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1"/>
      <c r="C17" s="71"/>
      <c r="D17" s="71"/>
      <c r="E17" s="4"/>
      <c r="F17" s="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121">
        <v>120</v>
      </c>
      <c r="C18" s="121">
        <v>240</v>
      </c>
      <c r="D18" s="121">
        <v>360</v>
      </c>
      <c r="E18" s="4"/>
      <c r="F18" s="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4"/>
      <c r="C19" s="74"/>
      <c r="D19" s="74"/>
      <c r="E19" s="4"/>
      <c r="F19" s="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3" t="s">
        <v>17</v>
      </c>
      <c r="C20" s="69" t="s">
        <v>74</v>
      </c>
      <c r="D20" s="70" t="s">
        <v>75</v>
      </c>
      <c r="E20" s="4"/>
      <c r="F20" s="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1"/>
      <c r="C21" s="71"/>
      <c r="D21" s="71"/>
      <c r="E21" s="4"/>
      <c r="F21" s="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1"/>
      <c r="C22" s="71"/>
      <c r="D22" s="71"/>
      <c r="E22" s="4"/>
      <c r="F22" s="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121">
        <v>75</v>
      </c>
      <c r="C23" s="121">
        <v>150</v>
      </c>
      <c r="D23" s="121">
        <v>225</v>
      </c>
      <c r="E23" s="4"/>
      <c r="F23" s="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4"/>
      <c r="C24" s="74"/>
      <c r="D24" s="74"/>
      <c r="E24" s="4"/>
      <c r="F24" s="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3" t="s">
        <v>18</v>
      </c>
      <c r="C25" s="69" t="s">
        <v>74</v>
      </c>
      <c r="D25" s="70" t="s">
        <v>75</v>
      </c>
      <c r="E25" s="4"/>
      <c r="F25" s="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1"/>
      <c r="C26" s="71"/>
      <c r="D26" s="71"/>
      <c r="E26" s="4"/>
      <c r="F26" s="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1"/>
      <c r="C27" s="71"/>
      <c r="D27" s="71"/>
      <c r="E27" s="4"/>
      <c r="F27" s="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121">
        <v>195</v>
      </c>
      <c r="C28" s="121">
        <v>390</v>
      </c>
      <c r="D28" s="121">
        <v>585</v>
      </c>
      <c r="E28" s="4"/>
      <c r="F28" s="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47"/>
      <c r="B30" s="47"/>
      <c r="C30" s="47"/>
      <c r="D30" s="47"/>
      <c r="E30" s="47"/>
      <c r="F30" s="47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47"/>
      <c r="B31" s="47"/>
      <c r="C31" s="47"/>
      <c r="D31" s="47"/>
      <c r="E31" s="47"/>
      <c r="F31" s="47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47"/>
      <c r="B32" s="47"/>
      <c r="C32" s="47"/>
      <c r="D32" s="47"/>
      <c r="E32" s="47"/>
      <c r="F32" s="47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79" t="s">
        <v>16</v>
      </c>
      <c r="I2" s="80"/>
      <c r="J2" s="80"/>
      <c r="L2" s="80" t="s">
        <v>17</v>
      </c>
      <c r="M2" s="80"/>
      <c r="N2" s="80"/>
      <c r="P2" s="80" t="s">
        <v>18</v>
      </c>
      <c r="Q2" s="80"/>
      <c r="R2" s="80"/>
      <c r="T2" s="80" t="s">
        <v>19</v>
      </c>
      <c r="U2" s="80"/>
      <c r="V2" s="80"/>
      <c r="X2" s="80" t="s">
        <v>20</v>
      </c>
      <c r="Y2" s="80"/>
      <c r="Z2" s="80"/>
      <c r="AB2" s="80" t="s">
        <v>21</v>
      </c>
      <c r="AC2" s="80"/>
      <c r="AD2" s="80"/>
      <c r="AF2" s="80" t="s">
        <v>22</v>
      </c>
      <c r="AG2" s="80"/>
      <c r="AH2" s="80"/>
      <c r="AJ2" s="80" t="s">
        <v>23</v>
      </c>
      <c r="AK2" s="80"/>
      <c r="AL2" s="80"/>
      <c r="AN2" s="80" t="s">
        <v>24</v>
      </c>
      <c r="AO2" s="80"/>
      <c r="AP2" s="80"/>
      <c r="AR2" s="80" t="s">
        <v>25</v>
      </c>
      <c r="AS2" s="80"/>
      <c r="AT2" s="80"/>
      <c r="AV2" s="82"/>
      <c r="AW2" s="82"/>
      <c r="AX2" s="82"/>
      <c r="AZ2" s="82"/>
      <c r="BA2" s="82"/>
      <c r="BB2" s="82"/>
      <c r="BD2" s="82"/>
      <c r="BE2" s="82"/>
      <c r="BF2" s="82"/>
      <c r="BH2" s="15" t="s">
        <v>26</v>
      </c>
      <c r="BI2" s="16"/>
      <c r="BJ2" s="81" t="s">
        <v>27</v>
      </c>
      <c r="BK2" s="81"/>
      <c r="BL2" s="81"/>
      <c r="BM2" s="16"/>
      <c r="BN2" s="81" t="s">
        <v>28</v>
      </c>
      <c r="BO2" s="81"/>
      <c r="BP2" s="81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0" t="s">
        <v>16</v>
      </c>
      <c r="D1" s="80"/>
      <c r="E1" s="80"/>
      <c r="G1" s="80" t="s">
        <v>17</v>
      </c>
      <c r="H1" s="80"/>
      <c r="I1" s="80"/>
      <c r="K1" s="80" t="s">
        <v>18</v>
      </c>
      <c r="L1" s="80"/>
      <c r="M1" s="80"/>
      <c r="O1" s="80" t="s">
        <v>19</v>
      </c>
      <c r="P1" s="80"/>
      <c r="Q1" s="80"/>
      <c r="S1" s="80" t="s">
        <v>47</v>
      </c>
      <c r="T1" s="80"/>
      <c r="U1" s="80"/>
      <c r="V1" s="11"/>
      <c r="W1" s="84" t="s">
        <v>23</v>
      </c>
      <c r="X1" s="84"/>
      <c r="Y1" s="84"/>
      <c r="Z1" s="11"/>
      <c r="AA1" s="83"/>
      <c r="AB1" s="83"/>
      <c r="AC1" s="83"/>
      <c r="AD1" s="11"/>
      <c r="AE1" s="83"/>
      <c r="AF1" s="83"/>
      <c r="AG1" s="83"/>
      <c r="AH1" s="11"/>
      <c r="AI1" s="14" t="s">
        <v>48</v>
      </c>
      <c r="AJ1" s="80" t="s">
        <v>24</v>
      </c>
      <c r="AK1" s="80"/>
      <c r="AL1" s="80"/>
      <c r="AM1" s="8"/>
      <c r="AN1" s="80" t="s">
        <v>25</v>
      </c>
      <c r="AO1" s="80"/>
      <c r="AP1" s="80"/>
      <c r="AQ1" s="8"/>
      <c r="AR1" s="83"/>
      <c r="AS1" s="83"/>
      <c r="AT1" s="83"/>
      <c r="AU1" s="8"/>
      <c r="AV1" s="83"/>
      <c r="AW1" s="83"/>
      <c r="AX1" s="83"/>
      <c r="AY1" s="8"/>
      <c r="AZ1" s="83"/>
      <c r="BA1" s="83"/>
      <c r="BB1" s="83"/>
      <c r="BD1" s="15" t="s">
        <v>26</v>
      </c>
      <c r="BF1" s="81" t="s">
        <v>27</v>
      </c>
      <c r="BG1" s="81"/>
      <c r="BH1" s="81"/>
      <c r="BJ1" s="81" t="s">
        <v>28</v>
      </c>
      <c r="BK1" s="81"/>
      <c r="BL1" s="81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9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8" t="s">
        <v>53</v>
      </c>
      <c r="B1" s="55" t="s">
        <v>77</v>
      </c>
      <c r="C1" s="60" t="s">
        <v>78</v>
      </c>
      <c r="D1" s="55" t="s">
        <v>55</v>
      </c>
      <c r="E1" s="55" t="s">
        <v>79</v>
      </c>
      <c r="F1" s="55" t="s">
        <v>56</v>
      </c>
    </row>
    <row r="2" spans="1:6" x14ac:dyDescent="0.25">
      <c r="A2" s="56">
        <v>46099</v>
      </c>
      <c r="B2" s="1">
        <v>260003</v>
      </c>
      <c r="C2" s="61">
        <v>2010</v>
      </c>
      <c r="D2" s="57">
        <v>100.5</v>
      </c>
      <c r="E2" s="1"/>
      <c r="F2" s="1" t="s">
        <v>80</v>
      </c>
    </row>
    <row r="3" spans="1:6" x14ac:dyDescent="0.25">
      <c r="A3" s="56">
        <v>46099</v>
      </c>
      <c r="B3" s="1">
        <v>260004</v>
      </c>
      <c r="C3" s="61">
        <v>2010</v>
      </c>
      <c r="D3" s="57">
        <v>100.5</v>
      </c>
      <c r="E3" s="1" t="s">
        <v>80</v>
      </c>
      <c r="F3" s="1"/>
    </row>
    <row r="4" spans="1:6" x14ac:dyDescent="0.25">
      <c r="A4" s="56">
        <v>46100</v>
      </c>
      <c r="B4" s="1">
        <v>260012</v>
      </c>
      <c r="C4" s="61">
        <v>0</v>
      </c>
      <c r="D4" s="57"/>
      <c r="E4" s="1" t="s">
        <v>80</v>
      </c>
      <c r="F4" s="1"/>
    </row>
    <row r="5" spans="1:6" x14ac:dyDescent="0.25">
      <c r="A5" s="56">
        <v>46100</v>
      </c>
      <c r="B5" s="1">
        <v>260013</v>
      </c>
      <c r="C5" s="61">
        <v>252</v>
      </c>
      <c r="D5" s="57"/>
      <c r="E5" s="1"/>
      <c r="F5" s="1" t="s">
        <v>80</v>
      </c>
    </row>
    <row r="6" spans="1:6" x14ac:dyDescent="0.25">
      <c r="A6" s="56"/>
      <c r="B6" s="1"/>
      <c r="C6" s="61"/>
      <c r="D6" s="57"/>
      <c r="E6" s="1"/>
      <c r="F6" s="1"/>
    </row>
    <row r="7" spans="1:6" x14ac:dyDescent="0.25">
      <c r="A7" s="56"/>
      <c r="B7" s="1"/>
      <c r="C7" s="61"/>
      <c r="D7" s="57"/>
      <c r="E7" s="1"/>
      <c r="F7" s="1"/>
    </row>
    <row r="8" spans="1:6" x14ac:dyDescent="0.25">
      <c r="A8" s="56"/>
      <c r="B8" s="1"/>
      <c r="C8" s="61"/>
      <c r="D8" s="57"/>
      <c r="E8" s="1"/>
      <c r="F8" s="1"/>
    </row>
    <row r="9" spans="1:6" x14ac:dyDescent="0.25">
      <c r="A9" s="56"/>
      <c r="B9" s="1"/>
      <c r="C9" s="61"/>
      <c r="D9" s="1"/>
      <c r="E9" s="1"/>
      <c r="F9" s="1"/>
    </row>
    <row r="10" spans="1:6" x14ac:dyDescent="0.25">
      <c r="A10" s="56"/>
      <c r="B10" s="1"/>
      <c r="C10" s="61"/>
      <c r="D10" s="1"/>
      <c r="E10" s="1"/>
      <c r="F10" s="1"/>
    </row>
    <row r="11" spans="1:6" x14ac:dyDescent="0.25">
      <c r="A11" s="56"/>
      <c r="B11" s="1"/>
      <c r="C11" s="61"/>
      <c r="D11" s="1"/>
      <c r="E11" s="1"/>
      <c r="F11" s="1"/>
    </row>
    <row r="12" spans="1:6" x14ac:dyDescent="0.25">
      <c r="A12" s="56"/>
      <c r="B12" s="1"/>
      <c r="C12" s="61"/>
      <c r="D12" s="1"/>
      <c r="E12" s="1"/>
      <c r="F12" s="1"/>
    </row>
    <row r="13" spans="1:6" x14ac:dyDescent="0.25">
      <c r="A13" s="56"/>
      <c r="B13" s="1"/>
      <c r="C13" s="61"/>
      <c r="D13" s="1"/>
      <c r="E13" s="1"/>
      <c r="F13" s="1"/>
    </row>
    <row r="14" spans="1:6" x14ac:dyDescent="0.25">
      <c r="A14" s="56"/>
      <c r="B14" s="1"/>
      <c r="C14" s="61"/>
      <c r="D14" s="1"/>
      <c r="E14" s="1"/>
      <c r="F14" s="1"/>
    </row>
    <row r="15" spans="1:6" x14ac:dyDescent="0.25">
      <c r="A15" s="56"/>
      <c r="B15" s="1"/>
      <c r="C15" s="61"/>
      <c r="D15" s="1"/>
      <c r="E15" s="1"/>
      <c r="F15" s="1"/>
    </row>
    <row r="16" spans="1:6" x14ac:dyDescent="0.25">
      <c r="A16" s="56"/>
      <c r="B16" s="1"/>
      <c r="C16" s="61"/>
      <c r="D16" s="1"/>
      <c r="E16" s="1"/>
      <c r="F16" s="1"/>
    </row>
    <row r="17" spans="1:6" x14ac:dyDescent="0.25">
      <c r="A17" s="56"/>
      <c r="B17" s="1"/>
      <c r="C17" s="61"/>
      <c r="D17" s="1"/>
      <c r="E17" s="1"/>
      <c r="F17" s="1"/>
    </row>
    <row r="18" spans="1:6" x14ac:dyDescent="0.25">
      <c r="A18" s="56"/>
      <c r="B18" s="1"/>
      <c r="C18" s="61"/>
      <c r="D18" s="1"/>
      <c r="E18" s="1"/>
      <c r="F18" s="1"/>
    </row>
    <row r="19" spans="1:6" x14ac:dyDescent="0.25">
      <c r="A19" s="56"/>
      <c r="B19" s="1"/>
      <c r="C19" s="61"/>
      <c r="D19" s="1"/>
      <c r="E19" s="1"/>
      <c r="F19" s="1"/>
    </row>
    <row r="20" spans="1:6" x14ac:dyDescent="0.25">
      <c r="A20" s="56"/>
      <c r="B20" s="1"/>
      <c r="C20" s="61"/>
      <c r="D20" s="1"/>
      <c r="E20" s="1"/>
      <c r="F20" s="1"/>
    </row>
    <row r="21" spans="1:6" x14ac:dyDescent="0.25">
      <c r="A21" s="56"/>
      <c r="B21" s="1"/>
      <c r="C21" s="61"/>
      <c r="D21" s="1"/>
      <c r="E21" s="1"/>
      <c r="F21" s="1"/>
    </row>
    <row r="22" spans="1:6" x14ac:dyDescent="0.25">
      <c r="A22" s="56"/>
      <c r="B22" s="1"/>
      <c r="C22" s="61"/>
      <c r="D22" s="1"/>
      <c r="E22" s="1"/>
      <c r="F22" s="1"/>
    </row>
    <row r="23" spans="1:6" x14ac:dyDescent="0.25">
      <c r="A23" s="56"/>
      <c r="B23" s="1"/>
      <c r="C23" s="61"/>
      <c r="D23" s="1"/>
      <c r="E23" s="1"/>
      <c r="F23" s="1"/>
    </row>
    <row r="24" spans="1:6" x14ac:dyDescent="0.25">
      <c r="A24" s="56"/>
      <c r="B24" s="1"/>
      <c r="C24" s="61"/>
      <c r="D24" s="1"/>
      <c r="E24" s="1"/>
      <c r="F24" s="1"/>
    </row>
    <row r="25" spans="1:6" x14ac:dyDescent="0.25">
      <c r="A25" s="56"/>
      <c r="B25" s="1"/>
      <c r="C25" s="61"/>
      <c r="D25" s="1"/>
      <c r="E25" s="1"/>
      <c r="F25" s="1"/>
    </row>
    <row r="26" spans="1:6" x14ac:dyDescent="0.25">
      <c r="A26" s="56"/>
      <c r="B26" s="1"/>
      <c r="C26" s="61"/>
      <c r="D26" s="1"/>
      <c r="E26" s="1"/>
      <c r="F26" s="1"/>
    </row>
    <row r="27" spans="1:6" x14ac:dyDescent="0.25">
      <c r="A27" s="56"/>
      <c r="B27" s="1"/>
      <c r="C27" s="61"/>
      <c r="D27" s="1"/>
      <c r="E27" s="1"/>
      <c r="F27" s="1"/>
    </row>
    <row r="28" spans="1:6" x14ac:dyDescent="0.25">
      <c r="A28" s="56"/>
      <c r="B28" s="1"/>
      <c r="C28" s="61"/>
      <c r="D28" s="1"/>
      <c r="E28" s="1"/>
      <c r="F28" s="1"/>
    </row>
    <row r="29" spans="1:6" x14ac:dyDescent="0.25">
      <c r="A29" s="56"/>
      <c r="B29" s="1"/>
      <c r="C29" s="61"/>
      <c r="D29" s="1"/>
      <c r="E29" s="1"/>
      <c r="F29" s="1"/>
    </row>
    <row r="30" spans="1:6" x14ac:dyDescent="0.25">
      <c r="A30" s="56"/>
      <c r="B30" s="1"/>
      <c r="C30" s="61"/>
      <c r="D30" s="1"/>
      <c r="E30" s="1"/>
      <c r="F30" s="1"/>
    </row>
    <row r="31" spans="1:6" x14ac:dyDescent="0.25">
      <c r="A31" s="56"/>
      <c r="B31" s="1"/>
      <c r="C31" s="61"/>
      <c r="D31" s="1"/>
      <c r="E31" s="1"/>
      <c r="F31" s="1"/>
    </row>
    <row r="32" spans="1:6" x14ac:dyDescent="0.25">
      <c r="A32" s="56"/>
      <c r="B32" s="1"/>
      <c r="C32" s="61"/>
      <c r="D32" s="1"/>
      <c r="E32" s="1"/>
      <c r="F32" s="1"/>
    </row>
    <row r="33" spans="1:6" x14ac:dyDescent="0.25">
      <c r="A33" s="56"/>
      <c r="B33" s="1"/>
      <c r="C33" s="61"/>
      <c r="D33" s="1"/>
      <c r="E33" s="1"/>
      <c r="F33" s="1"/>
    </row>
    <row r="34" spans="1:6" x14ac:dyDescent="0.25">
      <c r="A34" s="56"/>
      <c r="B34" s="1"/>
      <c r="C34" s="61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89">
        <f ca="1">TODAY()</f>
        <v>46124</v>
      </c>
      <c r="I1" s="8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5" t="s">
        <v>60</v>
      </c>
      <c r="I3" s="85"/>
      <c r="J3" s="85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88" t="s">
        <v>0</v>
      </c>
      <c r="B4" s="88"/>
      <c r="C4" s="85" t="str">
        <f>FrontPage!C5</f>
        <v>Test Client</v>
      </c>
      <c r="D4" s="85"/>
      <c r="E4" s="85"/>
      <c r="H4" s="85" t="s">
        <v>61</v>
      </c>
      <c r="I4" s="85"/>
      <c r="J4" s="85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88" t="s">
        <v>2</v>
      </c>
      <c r="B5" s="88"/>
      <c r="C5" s="85" t="str">
        <f>FrontPage!C6</f>
        <v>ABC</v>
      </c>
      <c r="D5" s="85"/>
      <c r="E5" s="85"/>
      <c r="H5" s="85" t="s">
        <v>62</v>
      </c>
      <c r="I5" s="85"/>
      <c r="J5" s="85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5" t="str">
        <f>FrontPage!C7</f>
        <v>37279 RRd 283</v>
      </c>
      <c r="D6" s="85"/>
      <c r="E6" s="85"/>
      <c r="H6" s="85" t="s">
        <v>63</v>
      </c>
      <c r="I6" s="85"/>
      <c r="J6" s="85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88" t="s">
        <v>5</v>
      </c>
      <c r="B7" s="88"/>
      <c r="C7" s="85" t="str">
        <f>FrontPage!C8</f>
        <v>Red Deer County</v>
      </c>
      <c r="D7" s="85"/>
      <c r="E7" s="85"/>
      <c r="H7" s="85" t="s">
        <v>64</v>
      </c>
      <c r="I7" s="85"/>
      <c r="J7" s="85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88" t="s">
        <v>6</v>
      </c>
      <c r="B8" s="88"/>
      <c r="C8" s="85" t="str">
        <f>FrontPage!C9</f>
        <v>AB</v>
      </c>
      <c r="D8" s="85"/>
      <c r="E8" s="85"/>
      <c r="H8" s="85" t="s">
        <v>65</v>
      </c>
      <c r="I8" s="85"/>
      <c r="J8" s="85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88" t="s">
        <v>7</v>
      </c>
      <c r="B9" s="88"/>
      <c r="C9" s="85" t="str">
        <f>FrontPage!C10</f>
        <v>T4E 1Y9</v>
      </c>
      <c r="D9" s="85"/>
      <c r="E9" s="85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6" t="s">
        <v>9</v>
      </c>
      <c r="B11" s="86"/>
      <c r="C11" s="86"/>
      <c r="D11" s="86"/>
      <c r="E11" s="86"/>
      <c r="F11" s="86"/>
      <c r="G11" s="86"/>
      <c r="H11" s="86"/>
      <c r="I11" s="86"/>
      <c r="J11" s="86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87" t="s">
        <v>67</v>
      </c>
      <c r="C12" s="87"/>
      <c r="D12" s="87"/>
      <c r="E12" s="87"/>
      <c r="F12" s="87"/>
      <c r="G12" s="87"/>
      <c r="H12" s="87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1"/>
      <c r="C13" s="81"/>
      <c r="D13" s="81"/>
      <c r="E13" s="81"/>
      <c r="F13" s="81"/>
      <c r="G13" s="81"/>
      <c r="H13" s="81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1"/>
      <c r="C14" s="81"/>
      <c r="D14" s="81"/>
      <c r="E14" s="81"/>
      <c r="F14" s="81"/>
      <c r="G14" s="81"/>
      <c r="H14" s="81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1"/>
      <c r="C15" s="81"/>
      <c r="D15" s="81"/>
      <c r="E15" s="81"/>
      <c r="F15" s="81"/>
      <c r="G15" s="81"/>
      <c r="H15" s="81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1"/>
      <c r="C16" s="81"/>
      <c r="D16" s="81"/>
      <c r="E16" s="81"/>
      <c r="F16" s="81"/>
      <c r="G16" s="81"/>
      <c r="H16" s="81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1"/>
      <c r="C17" s="81"/>
      <c r="D17" s="81"/>
      <c r="E17" s="81"/>
      <c r="F17" s="81"/>
      <c r="G17" s="81"/>
      <c r="H17" s="81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1"/>
      <c r="C18" s="81"/>
      <c r="D18" s="81"/>
      <c r="E18" s="81"/>
      <c r="F18" s="81"/>
      <c r="G18" s="81"/>
      <c r="H18" s="81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1"/>
      <c r="C19" s="81"/>
      <c r="D19" s="81"/>
      <c r="E19" s="81"/>
      <c r="F19" s="81"/>
      <c r="G19" s="81"/>
      <c r="H19" s="81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1" t="s">
        <v>54</v>
      </c>
      <c r="B20" s="91"/>
      <c r="C20" s="91"/>
      <c r="D20" s="91"/>
      <c r="E20" s="91"/>
      <c r="F20" s="91"/>
      <c r="G20" s="91"/>
      <c r="H20" s="91"/>
      <c r="I20" s="91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3"/>
      <c r="C21" s="90"/>
      <c r="D21" s="90"/>
      <c r="E21" s="90"/>
      <c r="F21" s="90"/>
      <c r="G21" s="90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3"/>
      <c r="C22" s="90"/>
      <c r="D22" s="90"/>
      <c r="E22" s="90"/>
      <c r="F22" s="90"/>
      <c r="G22" s="90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3"/>
      <c r="C23" s="90"/>
      <c r="D23" s="90"/>
      <c r="E23" s="90"/>
      <c r="F23" s="90"/>
      <c r="G23" s="90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2" t="s">
        <v>70</v>
      </c>
      <c r="E26" s="92"/>
      <c r="G26" s="1" t="s">
        <v>53</v>
      </c>
      <c r="H26" s="93">
        <f ca="1">H1</f>
        <v>46124</v>
      </c>
      <c r="I26" s="93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5" t="str">
        <f>H3</f>
        <v>Central Labs Ltd.</v>
      </c>
      <c r="I28" s="85"/>
      <c r="J28" s="85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88" t="s">
        <v>0</v>
      </c>
      <c r="B29" s="88"/>
      <c r="C29" s="85" t="str">
        <f t="shared" ref="C29:C34" si="1">C4</f>
        <v>Test Client</v>
      </c>
      <c r="D29" s="85"/>
      <c r="E29" s="85"/>
      <c r="H29" s="85" t="str">
        <f>H4</f>
        <v>B5, 53-Burnt Park Drive</v>
      </c>
      <c r="I29" s="85"/>
      <c r="J29" s="85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88" t="s">
        <v>2</v>
      </c>
      <c r="B30" s="88"/>
      <c r="C30" s="85" t="str">
        <f t="shared" si="1"/>
        <v>ABC</v>
      </c>
      <c r="D30" s="85"/>
      <c r="E30" s="85"/>
      <c r="H30" s="85" t="str">
        <f t="shared" ref="H30:H33" si="2">H5</f>
        <v>Red Deer, AB; T4P 0J7</v>
      </c>
      <c r="I30" s="85"/>
      <c r="J30" s="85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5" t="str">
        <f t="shared" si="1"/>
        <v>37279 RRd 283</v>
      </c>
      <c r="D31" s="85"/>
      <c r="E31" s="85"/>
      <c r="H31" s="85" t="str">
        <f t="shared" si="2"/>
        <v>Ph: (403) 348-8378</v>
      </c>
      <c r="I31" s="85"/>
      <c r="J31" s="85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88" t="s">
        <v>5</v>
      </c>
      <c r="B32" s="88"/>
      <c r="C32" s="85" t="str">
        <f t="shared" si="1"/>
        <v>Red Deer County</v>
      </c>
      <c r="D32" s="85"/>
      <c r="E32" s="85"/>
      <c r="H32" s="85" t="str">
        <f t="shared" si="2"/>
        <v>GST: 81583 0427 RT0001</v>
      </c>
      <c r="I32" s="85"/>
      <c r="J32" s="85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88" t="s">
        <v>6</v>
      </c>
      <c r="B33" s="88"/>
      <c r="C33" s="85" t="str">
        <f t="shared" si="1"/>
        <v>AB</v>
      </c>
      <c r="D33" s="85"/>
      <c r="E33" s="85"/>
      <c r="H33" s="85" t="str">
        <f t="shared" si="2"/>
        <v>Email: reporting@c-labs.ca</v>
      </c>
      <c r="I33" s="85"/>
      <c r="J33" s="85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88" t="s">
        <v>7</v>
      </c>
      <c r="B34" s="88"/>
      <c r="C34" s="85" t="str">
        <f t="shared" si="1"/>
        <v>T4E 1Y9</v>
      </c>
      <c r="D34" s="85"/>
      <c r="E34" s="85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6" t="s">
        <v>9</v>
      </c>
      <c r="B36" s="86"/>
      <c r="C36" s="86"/>
      <c r="D36" s="86"/>
      <c r="E36" s="86"/>
      <c r="F36" s="86"/>
      <c r="G36" s="86"/>
      <c r="H36" s="86"/>
      <c r="I36" s="86"/>
      <c r="J36" s="86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87" t="s">
        <v>67</v>
      </c>
      <c r="C37" s="87"/>
      <c r="D37" s="87"/>
      <c r="E37" s="87"/>
      <c r="F37" s="87"/>
      <c r="G37" s="87"/>
      <c r="H37" s="87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1">
        <f>B13</f>
        <v>0</v>
      </c>
      <c r="C38" s="81"/>
      <c r="D38" s="81"/>
      <c r="E38" s="81"/>
      <c r="F38" s="81"/>
      <c r="G38" s="81"/>
      <c r="H38" s="81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1">
        <f t="shared" si="3"/>
        <v>0</v>
      </c>
      <c r="C39" s="81"/>
      <c r="D39" s="81"/>
      <c r="E39" s="81"/>
      <c r="F39" s="81"/>
      <c r="G39" s="81"/>
      <c r="H39" s="81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1">
        <f t="shared" si="3"/>
        <v>0</v>
      </c>
      <c r="C40" s="81"/>
      <c r="D40" s="81"/>
      <c r="E40" s="81"/>
      <c r="F40" s="81"/>
      <c r="G40" s="81"/>
      <c r="H40" s="81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1">
        <f t="shared" si="3"/>
        <v>0</v>
      </c>
      <c r="C41" s="81"/>
      <c r="D41" s="81"/>
      <c r="E41" s="81"/>
      <c r="F41" s="81"/>
      <c r="G41" s="81"/>
      <c r="H41" s="81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1">
        <f t="shared" si="3"/>
        <v>0</v>
      </c>
      <c r="C42" s="81"/>
      <c r="D42" s="81"/>
      <c r="E42" s="81"/>
      <c r="F42" s="81"/>
      <c r="G42" s="81"/>
      <c r="H42" s="81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1">
        <f t="shared" si="3"/>
        <v>0</v>
      </c>
      <c r="C43" s="81"/>
      <c r="D43" s="81"/>
      <c r="E43" s="81"/>
      <c r="F43" s="81"/>
      <c r="G43" s="81"/>
      <c r="H43" s="81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1">
        <f t="shared" si="3"/>
        <v>0</v>
      </c>
      <c r="C44" s="81"/>
      <c r="D44" s="81"/>
      <c r="E44" s="81"/>
      <c r="F44" s="81"/>
      <c r="G44" s="81"/>
      <c r="H44" s="81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1" t="s">
        <v>54</v>
      </c>
      <c r="B45" s="91"/>
      <c r="C45" s="91"/>
      <c r="D45" s="91"/>
      <c r="E45" s="91"/>
      <c r="F45" s="91"/>
      <c r="G45" s="91"/>
      <c r="H45" s="91"/>
      <c r="I45" s="91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4"/>
      <c r="C46" s="95" t="s">
        <v>69</v>
      </c>
      <c r="D46" s="96"/>
      <c r="E46" s="90"/>
      <c r="F46" s="94" t="s">
        <v>76</v>
      </c>
      <c r="G46" s="94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4"/>
      <c r="C47" s="96"/>
      <c r="D47" s="96"/>
      <c r="E47" s="90"/>
      <c r="F47" s="94"/>
      <c r="G47" s="94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4"/>
      <c r="C48" s="96"/>
      <c r="D48" s="96"/>
      <c r="E48" s="90"/>
      <c r="F48" s="94"/>
      <c r="G48" s="94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89">
        <f ca="1">TODAY()</f>
        <v>46124</v>
      </c>
      <c r="F1" s="85"/>
      <c r="G1" s="105"/>
      <c r="H1" s="106"/>
      <c r="I1" s="106"/>
      <c r="J1" s="107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7">
        <v>0.06</v>
      </c>
      <c r="AA1" s="66"/>
      <c r="AB1" s="66"/>
    </row>
    <row r="2" spans="1:28" ht="29.45" customHeight="1" x14ac:dyDescent="0.25">
      <c r="G2" s="108"/>
      <c r="H2" s="81"/>
      <c r="I2" s="81"/>
      <c r="J2" s="109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</row>
    <row r="3" spans="1:28" x14ac:dyDescent="0.25">
      <c r="A3" s="113" t="s">
        <v>58</v>
      </c>
      <c r="B3" s="113"/>
      <c r="C3" s="113"/>
      <c r="D3" s="113"/>
      <c r="E3" s="113"/>
      <c r="G3" s="108"/>
      <c r="H3" s="81"/>
      <c r="I3" s="81"/>
      <c r="J3" s="109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</row>
    <row r="4" spans="1:28" ht="15.75" thickBot="1" x14ac:dyDescent="0.3">
      <c r="B4" s="9" t="s">
        <v>0</v>
      </c>
      <c r="C4" s="85" t="str">
        <f>FrontPage!C5</f>
        <v>Test Client</v>
      </c>
      <c r="D4" s="85"/>
      <c r="E4" s="85"/>
      <c r="G4" s="110"/>
      <c r="H4" s="111"/>
      <c r="I4" s="111"/>
      <c r="J4" s="112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</row>
    <row r="5" spans="1:28" x14ac:dyDescent="0.25">
      <c r="B5" s="9" t="s">
        <v>2</v>
      </c>
      <c r="C5" s="85" t="str">
        <f>FrontPage!C6</f>
        <v>ABC</v>
      </c>
      <c r="D5" s="85"/>
      <c r="E5" s="85"/>
      <c r="G5" t="s">
        <v>59</v>
      </c>
      <c r="H5" t="s">
        <v>60</v>
      </c>
    </row>
    <row r="6" spans="1:28" x14ac:dyDescent="0.25">
      <c r="B6" s="9" t="s">
        <v>4</v>
      </c>
      <c r="C6" s="85" t="str">
        <f>FrontPage!C7</f>
        <v>37279 RRd 283</v>
      </c>
      <c r="D6" s="85"/>
      <c r="E6" s="85"/>
      <c r="H6" t="s">
        <v>61</v>
      </c>
    </row>
    <row r="7" spans="1:28" x14ac:dyDescent="0.25">
      <c r="B7" s="9" t="s">
        <v>5</v>
      </c>
      <c r="C7" s="85" t="str">
        <f>FrontPage!C8</f>
        <v>Red Deer County</v>
      </c>
      <c r="D7" s="85"/>
      <c r="E7" s="85"/>
      <c r="H7" t="s">
        <v>62</v>
      </c>
    </row>
    <row r="8" spans="1:28" x14ac:dyDescent="0.25">
      <c r="B8" s="9" t="s">
        <v>6</v>
      </c>
      <c r="C8" s="85" t="str">
        <f>FrontPage!C9</f>
        <v>AB</v>
      </c>
      <c r="D8" s="85"/>
      <c r="E8" s="85"/>
      <c r="H8" t="s">
        <v>63</v>
      </c>
    </row>
    <row r="9" spans="1:28" ht="15.75" thickBot="1" x14ac:dyDescent="0.3">
      <c r="B9" s="9" t="s">
        <v>7</v>
      </c>
      <c r="C9" s="85" t="str">
        <f>FrontPage!C10</f>
        <v>T4E 1Y9</v>
      </c>
      <c r="D9" s="85"/>
      <c r="E9" s="85"/>
      <c r="H9" t="s">
        <v>65</v>
      </c>
    </row>
    <row r="10" spans="1:28" ht="13.15" customHeight="1" thickTop="1" x14ac:dyDescent="0.25">
      <c r="A10" s="62" t="s">
        <v>9</v>
      </c>
      <c r="B10" s="62"/>
      <c r="C10" s="62"/>
      <c r="D10" s="62"/>
      <c r="E10" s="92" t="s">
        <v>89</v>
      </c>
      <c r="F10" s="92"/>
      <c r="G10" s="62"/>
      <c r="H10" s="62"/>
      <c r="I10" s="62"/>
      <c r="J10" s="62"/>
    </row>
    <row r="11" spans="1:28" x14ac:dyDescent="0.25">
      <c r="A11" s="38" t="s">
        <v>66</v>
      </c>
      <c r="B11" s="87" t="s">
        <v>67</v>
      </c>
      <c r="C11" s="87"/>
      <c r="D11" s="87"/>
      <c r="E11" s="87"/>
      <c r="F11" s="87"/>
      <c r="G11" s="87"/>
      <c r="H11" s="87"/>
      <c r="I11" s="39" t="s">
        <v>12</v>
      </c>
      <c r="J11" s="39" t="s">
        <v>68</v>
      </c>
    </row>
    <row r="12" spans="1:28" x14ac:dyDescent="0.25">
      <c r="A12">
        <v>1</v>
      </c>
      <c r="B12" s="81" t="s">
        <v>16</v>
      </c>
      <c r="C12" s="81"/>
      <c r="D12" s="81"/>
      <c r="E12" s="81"/>
      <c r="F12" s="81"/>
      <c r="G12" s="81"/>
      <c r="H12" s="81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1" t="s">
        <v>17</v>
      </c>
      <c r="C13" s="81"/>
      <c r="D13" s="81"/>
      <c r="E13" s="81"/>
      <c r="F13" s="81"/>
      <c r="G13" s="81"/>
      <c r="H13" s="81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1" t="s">
        <v>18</v>
      </c>
      <c r="C14" s="81"/>
      <c r="D14" s="81"/>
      <c r="E14" s="81"/>
      <c r="F14" s="81"/>
      <c r="G14" s="81"/>
      <c r="H14" s="81"/>
      <c r="I14" s="41">
        <v>195</v>
      </c>
      <c r="J14" s="41">
        <f t="shared" si="0"/>
        <v>780</v>
      </c>
    </row>
    <row r="15" spans="1:28" x14ac:dyDescent="0.25">
      <c r="B15" s="81"/>
      <c r="C15" s="81"/>
      <c r="D15" s="81"/>
      <c r="E15" s="81"/>
      <c r="F15" s="81"/>
      <c r="G15" s="81"/>
      <c r="H15" s="81"/>
      <c r="I15" s="41"/>
      <c r="J15" s="41">
        <f t="shared" si="0"/>
        <v>0</v>
      </c>
    </row>
    <row r="16" spans="1:28" ht="15.75" thickBot="1" x14ac:dyDescent="0.3">
      <c r="B16" s="81"/>
      <c r="C16" s="81"/>
      <c r="D16" s="81"/>
      <c r="E16" s="81"/>
      <c r="F16" s="81"/>
      <c r="G16" s="81"/>
      <c r="H16" s="81"/>
      <c r="I16" s="41"/>
      <c r="J16" s="41">
        <f t="shared" si="0"/>
        <v>0</v>
      </c>
    </row>
    <row r="17" spans="1:10" ht="15.75" thickTop="1" x14ac:dyDescent="0.25">
      <c r="A17" s="91" t="s">
        <v>54</v>
      </c>
      <c r="B17" s="91"/>
      <c r="C17" s="91"/>
      <c r="D17" s="91"/>
      <c r="E17" s="91"/>
      <c r="F17" s="91"/>
      <c r="G17" s="91"/>
      <c r="H17" s="91"/>
      <c r="I17" s="91"/>
      <c r="J17" s="65">
        <f>SUM(J12:J16)</f>
        <v>1320</v>
      </c>
    </row>
    <row r="18" spans="1:10" x14ac:dyDescent="0.25">
      <c r="B18" s="90"/>
      <c r="C18" s="90"/>
      <c r="D18" s="120" t="s">
        <v>86</v>
      </c>
      <c r="E18" s="90"/>
      <c r="F18" s="90"/>
      <c r="G18" s="88" t="s">
        <v>84</v>
      </c>
      <c r="H18" s="88"/>
      <c r="I18" s="88"/>
      <c r="J18" s="41">
        <f>J17*Z1</f>
        <v>79.2</v>
      </c>
    </row>
    <row r="19" spans="1:10" ht="6" customHeight="1" thickBot="1" x14ac:dyDescent="0.3">
      <c r="B19" s="90"/>
      <c r="C19" s="90"/>
      <c r="D19" s="120"/>
      <c r="E19" s="90"/>
      <c r="F19" s="90"/>
      <c r="I19" s="9"/>
    </row>
    <row r="20" spans="1:10" ht="15.75" thickBot="1" x14ac:dyDescent="0.3">
      <c r="B20" s="90"/>
      <c r="C20" s="90"/>
      <c r="D20" s="120"/>
      <c r="E20" s="90"/>
      <c r="F20" s="90"/>
      <c r="I20" s="64" t="s">
        <v>68</v>
      </c>
      <c r="J20" s="63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46124</v>
      </c>
    </row>
    <row r="24" spans="1:10" ht="7.15" customHeight="1" x14ac:dyDescent="0.25"/>
    <row r="25" spans="1:10" x14ac:dyDescent="0.25">
      <c r="A25" s="113" t="s">
        <v>58</v>
      </c>
      <c r="B25" s="113"/>
      <c r="C25" s="113"/>
      <c r="D25" s="113"/>
      <c r="E25" s="113"/>
      <c r="G25" t="s">
        <v>59</v>
      </c>
      <c r="H25" t="s">
        <v>60</v>
      </c>
    </row>
    <row r="26" spans="1:10" x14ac:dyDescent="0.25">
      <c r="B26" s="9" t="s">
        <v>0</v>
      </c>
      <c r="C26" s="85" t="str">
        <f t="shared" ref="C26:C31" si="1">C4</f>
        <v>Test Client</v>
      </c>
      <c r="D26" s="85"/>
      <c r="E26" s="85"/>
      <c r="H26" t="s">
        <v>61</v>
      </c>
    </row>
    <row r="27" spans="1:10" x14ac:dyDescent="0.25">
      <c r="B27" s="9" t="s">
        <v>2</v>
      </c>
      <c r="C27" s="85" t="str">
        <f t="shared" si="1"/>
        <v>ABC</v>
      </c>
      <c r="D27" s="85"/>
      <c r="E27" s="85"/>
      <c r="H27" t="s">
        <v>62</v>
      </c>
    </row>
    <row r="28" spans="1:10" x14ac:dyDescent="0.25">
      <c r="B28" s="9" t="s">
        <v>4</v>
      </c>
      <c r="C28" s="85" t="str">
        <f t="shared" si="1"/>
        <v>37279 RRd 283</v>
      </c>
      <c r="D28" s="85"/>
      <c r="E28" s="85"/>
      <c r="H28" t="s">
        <v>63</v>
      </c>
    </row>
    <row r="29" spans="1:10" x14ac:dyDescent="0.25">
      <c r="B29" s="9" t="s">
        <v>5</v>
      </c>
      <c r="C29" s="85" t="str">
        <f t="shared" si="1"/>
        <v>Red Deer County</v>
      </c>
      <c r="D29" s="85"/>
      <c r="E29" s="85"/>
      <c r="H29" t="s">
        <v>64</v>
      </c>
    </row>
    <row r="30" spans="1:10" x14ac:dyDescent="0.25">
      <c r="B30" s="9" t="s">
        <v>6</v>
      </c>
      <c r="C30" s="85" t="str">
        <f t="shared" si="1"/>
        <v>AB</v>
      </c>
      <c r="D30" s="85"/>
      <c r="E30" s="85"/>
      <c r="H30" t="s">
        <v>65</v>
      </c>
    </row>
    <row r="31" spans="1:10" ht="15.75" thickBot="1" x14ac:dyDescent="0.3">
      <c r="B31" s="9" t="s">
        <v>7</v>
      </c>
      <c r="C31" s="85" t="str">
        <f t="shared" si="1"/>
        <v>T4E 1Y9</v>
      </c>
      <c r="D31" s="85"/>
      <c r="E31" s="85"/>
    </row>
    <row r="32" spans="1:10" ht="12.6" customHeight="1" thickTop="1" x14ac:dyDescent="0.25">
      <c r="A32" s="62" t="s">
        <v>9</v>
      </c>
      <c r="B32" s="62"/>
      <c r="C32" s="62"/>
      <c r="D32" s="62"/>
      <c r="E32" s="92" t="s">
        <v>88</v>
      </c>
      <c r="F32" s="92"/>
      <c r="G32" s="62"/>
      <c r="H32" s="62"/>
      <c r="I32" s="62"/>
      <c r="J32" s="62"/>
    </row>
    <row r="33" spans="1:10" x14ac:dyDescent="0.25">
      <c r="A33" s="38" t="s">
        <v>66</v>
      </c>
      <c r="B33" s="87" t="s">
        <v>67</v>
      </c>
      <c r="C33" s="87"/>
      <c r="D33" s="87"/>
      <c r="E33" s="87"/>
      <c r="F33" s="87"/>
      <c r="G33" s="87"/>
      <c r="H33" s="87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1" t="str">
        <f t="shared" si="2"/>
        <v>Potable</v>
      </c>
      <c r="C34" s="81"/>
      <c r="D34" s="81"/>
      <c r="E34" s="81"/>
      <c r="F34" s="81"/>
      <c r="G34" s="81"/>
      <c r="H34" s="81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1" t="str">
        <f t="shared" si="2"/>
        <v>Total/E.Coli</v>
      </c>
      <c r="C35" s="81"/>
      <c r="D35" s="81"/>
      <c r="E35" s="81"/>
      <c r="F35" s="81"/>
      <c r="G35" s="81"/>
      <c r="H35" s="81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1" t="str">
        <f t="shared" si="2"/>
        <v>Potable Package</v>
      </c>
      <c r="C36" s="81"/>
      <c r="D36" s="81"/>
      <c r="E36" s="81"/>
      <c r="F36" s="81"/>
      <c r="G36" s="81"/>
      <c r="H36" s="81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1">
        <f t="shared" si="2"/>
        <v>0</v>
      </c>
      <c r="C37" s="81"/>
      <c r="D37" s="81"/>
      <c r="E37" s="81"/>
      <c r="F37" s="81"/>
      <c r="G37" s="81"/>
      <c r="H37" s="81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1">
        <f t="shared" si="2"/>
        <v>0</v>
      </c>
      <c r="C38" s="81"/>
      <c r="D38" s="81"/>
      <c r="E38" s="81"/>
      <c r="F38" s="81"/>
      <c r="G38" s="81"/>
      <c r="H38" s="81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1" t="s">
        <v>54</v>
      </c>
      <c r="B39" s="91"/>
      <c r="C39" s="91"/>
      <c r="D39" s="91"/>
      <c r="E39" s="91"/>
      <c r="F39" s="91"/>
      <c r="G39" s="91"/>
      <c r="H39" s="91"/>
      <c r="I39" s="91"/>
      <c r="J39" s="65">
        <f>J17</f>
        <v>1320</v>
      </c>
    </row>
    <row r="40" spans="1:10" x14ac:dyDescent="0.25">
      <c r="B40" s="98" t="s">
        <v>87</v>
      </c>
      <c r="C40" s="99"/>
      <c r="D40" s="97" t="s">
        <v>86</v>
      </c>
      <c r="E40" s="114" t="s">
        <v>85</v>
      </c>
      <c r="F40" s="115"/>
      <c r="G40" s="104" t="s">
        <v>84</v>
      </c>
      <c r="H40" s="88"/>
      <c r="I40" s="88"/>
      <c r="J40" s="41">
        <f>J18</f>
        <v>79.2</v>
      </c>
    </row>
    <row r="41" spans="1:10" ht="6" customHeight="1" x14ac:dyDescent="0.25">
      <c r="B41" s="100"/>
      <c r="C41" s="101"/>
      <c r="D41" s="97"/>
      <c r="E41" s="116"/>
      <c r="F41" s="117"/>
      <c r="I41" s="9"/>
    </row>
    <row r="42" spans="1:10" ht="15.75" thickBot="1" x14ac:dyDescent="0.3">
      <c r="B42" s="102"/>
      <c r="C42" s="103"/>
      <c r="D42" s="97"/>
      <c r="E42" s="118"/>
      <c r="F42" s="119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2026-04-12T06:16:40Z</dcterms:modified>
</cp:coreProperties>
</file>