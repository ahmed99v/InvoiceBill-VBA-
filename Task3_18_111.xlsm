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3662DDB0-A33E-4533-8A48-3A55512458A4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<sst xmlns="http://schemas.openxmlformats.org/spreadsheetml/2006/main" count="301" uniqueCount="90">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</sst>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17DA551-BB68-4AD5-93D5-0BE527B1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1F002D9-EDF6-4978-9E55-AA58FC0F1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B8D3EC7-F9FB-4A38-9524-F8785E10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913C9709-F620-45E6-960E-FC5A67EAD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679F5103-4D7B-462B-A1D4-3FF43F258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6A35CABC-0D0E-4E72-B5B2-BC4425FDE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B6320EF1-CD00-43BA-90B8-AE7E0C5A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533400</xdr:colOff>
      <xdr:row>4</xdr:row>
      <xdr:rowOff>5454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934C7961-DA0E-4040-841F-ABC644E3A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533400</xdr:colOff>
      <xdr:row>4</xdr:row>
      <xdr:rowOff>5454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EFD01CE1-8BDA-42B1-A236-D00F3B7D4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533400</xdr:colOff>
      <xdr:row>4</xdr:row>
      <xdr:rowOff>5454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8FDC6F47-4950-40C6-AF6E-FFC3FF9CF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533400</xdr:colOff>
      <xdr:row>4</xdr:row>
      <xdr:rowOff>5454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DDF91AF8-5EF3-4951-9A40-FEF5AFDAA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533400</xdr:colOff>
      <xdr:row>4</xdr:row>
      <xdr:rowOff>5454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8001337C-D6D8-4898-9AD6-099D25C13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9632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3</xdr:row>
      <xdr:rowOff>0</xdr:rowOff>
    </xdr:from>
    <xdr:to>
      <xdr:col>23</xdr:col>
      <xdr:colOff>533400</xdr:colOff>
      <xdr:row>4</xdr:row>
      <xdr:rowOff>5454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84ADA271-161B-407A-ACC0-BBCFB2A9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5728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3</xdr:row>
      <xdr:rowOff>0</xdr:rowOff>
    </xdr:from>
    <xdr:to>
      <xdr:col>24</xdr:col>
      <xdr:colOff>533400</xdr:colOff>
      <xdr:row>4</xdr:row>
      <xdr:rowOff>5454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D95545AE-7AD7-4D94-954A-57C8E6BD3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1824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3</xdr:row>
      <xdr:rowOff>0</xdr:rowOff>
    </xdr:from>
    <xdr:to>
      <xdr:col>35</xdr:col>
      <xdr:colOff>533400</xdr:colOff>
      <xdr:row>4</xdr:row>
      <xdr:rowOff>5454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8754B733-4116-4B02-B900-2B2A84273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760220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tabSelected="1" topLeftCell="K1" workbookViewId="0">
      <selection activeCell="AJ4" sqref="AJ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9">
        <f ca="1">TODAY()</f>
        <v>46167</v>
      </c>
      <c r="I1" s="99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93" t="s">
        <v>60</v>
      </c>
      <c r="I3" s="93"/>
      <c r="J3" s="93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2" t="s">
        <v>0</v>
      </c>
      <c r="B4" s="92"/>
      <c r="C4" s="93" t="str">
        <f>FrontPage!C5</f>
        <v>Bar N Ranch</v>
      </c>
      <c r="D4" s="93"/>
      <c r="E4" s="93"/>
      <c r="H4" s="93" t="s">
        <v>61</v>
      </c>
      <c r="I4" s="93"/>
      <c r="J4" s="93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2" t="s">
        <v>2</v>
      </c>
      <c r="B5" s="92"/>
      <c r="C5" s="93" t="str">
        <f>FrontPage!C6</f>
        <v>Barry Bar</v>
      </c>
      <c r="D5" s="93"/>
      <c r="E5" s="93"/>
      <c r="H5" s="93" t="s">
        <v>62</v>
      </c>
      <c r="I5" s="93"/>
      <c r="J5" s="93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93" t="str">
        <f>FrontPage!C7</f>
        <v>Box 32</v>
      </c>
      <c r="D6" s="93"/>
      <c r="E6" s="93"/>
      <c r="H6" s="93" t="s">
        <v>63</v>
      </c>
      <c r="I6" s="93"/>
      <c r="J6" s="93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2" t="s">
        <v>5</v>
      </c>
      <c r="B7" s="92"/>
      <c r="C7" s="93" t="str">
        <f>FrontPage!C8</f>
        <v>Black Diamond</v>
      </c>
      <c r="D7" s="93"/>
      <c r="E7" s="93"/>
      <c r="H7" s="93" t="s">
        <v>64</v>
      </c>
      <c r="I7" s="93"/>
      <c r="J7" s="93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2" t="s">
        <v>6</v>
      </c>
      <c r="B8" s="92"/>
      <c r="C8" s="93" t="str">
        <f>FrontPage!C9</f>
        <v>AB</v>
      </c>
      <c r="D8" s="93"/>
      <c r="E8" s="93"/>
      <c r="H8" s="93" t="s">
        <v>65</v>
      </c>
      <c r="I8" s="93"/>
      <c r="J8" s="93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2" t="s">
        <v>7</v>
      </c>
      <c r="B9" s="92"/>
      <c r="C9" s="93" t="str">
        <f>FrontPage!C10</f>
        <v>T0B 1Z3</v>
      </c>
      <c r="D9" s="93"/>
      <c r="E9" s="93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95" t="s">
        <v>9</v>
      </c>
      <c r="B11" s="95"/>
      <c r="C11" s="95"/>
      <c r="D11" s="95"/>
      <c r="E11" s="95"/>
      <c r="F11" s="95"/>
      <c r="G11" s="95"/>
      <c r="H11" s="95"/>
      <c r="I11" s="95"/>
      <c r="J11" s="95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6" t="s">
        <v>67</v>
      </c>
      <c r="C12" s="96"/>
      <c r="D12" s="96"/>
      <c r="E12" s="96"/>
      <c r="F12" s="96"/>
      <c r="G12" s="96"/>
      <c r="H12" s="96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89"/>
      <c r="D21" s="89"/>
      <c r="E21" s="89"/>
      <c r="F21" s="89"/>
      <c r="G21" s="89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89"/>
      <c r="D22" s="89"/>
      <c r="E22" s="89"/>
      <c r="F22" s="89"/>
      <c r="G22" s="89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89"/>
      <c r="D23" s="89"/>
      <c r="E23" s="89"/>
      <c r="F23" s="89"/>
      <c r="G23" s="89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8" t="s">
        <v>70</v>
      </c>
      <c r="E26" s="98"/>
      <c r="G26" s="1" t="s">
        <v>53</v>
      </c>
      <c r="H26" s="97">
        <f ca="1">H1</f>
        <v>46167</v>
      </c>
      <c r="I26" s="97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93" t="str">
        <f>H3</f>
        <v>Central Labs Ltd.</v>
      </c>
      <c r="I28" s="93"/>
      <c r="J28" s="93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2" t="s">
        <v>0</v>
      </c>
      <c r="B29" s="92"/>
      <c r="C29" s="93" t="str">
        <f t="shared" ref="C29:C34" si="1">C4</f>
        <v>Bar N Ranch</v>
      </c>
      <c r="D29" s="93"/>
      <c r="E29" s="93"/>
      <c r="H29" s="93" t="str">
        <f>H4</f>
        <v>B5, 53-Burnt Park Drive</v>
      </c>
      <c r="I29" s="93"/>
      <c r="J29" s="93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2" t="s">
        <v>2</v>
      </c>
      <c r="B30" s="92"/>
      <c r="C30" s="93" t="str">
        <f t="shared" si="1"/>
        <v>Barry Bar</v>
      </c>
      <c r="D30" s="93"/>
      <c r="E30" s="93"/>
      <c r="H30" s="93" t="str">
        <f t="shared" ref="H30:H33" si="2">H5</f>
        <v>Red Deer, AB; T4P 0J7</v>
      </c>
      <c r="I30" s="93"/>
      <c r="J30" s="93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93" t="str">
        <f t="shared" si="1"/>
        <v>Box 32</v>
      </c>
      <c r="D31" s="93"/>
      <c r="E31" s="93"/>
      <c r="H31" s="93" t="str">
        <f t="shared" si="2"/>
        <v>Ph: (403) 348-8378</v>
      </c>
      <c r="I31" s="93"/>
      <c r="J31" s="93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2" t="s">
        <v>5</v>
      </c>
      <c r="B32" s="92"/>
      <c r="C32" s="93" t="str">
        <f t="shared" si="1"/>
        <v>Black Diamond</v>
      </c>
      <c r="D32" s="93"/>
      <c r="E32" s="93"/>
      <c r="H32" s="93" t="str">
        <f t="shared" si="2"/>
        <v>GST: 81583 0427 RT0001</v>
      </c>
      <c r="I32" s="93"/>
      <c r="J32" s="93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2" t="s">
        <v>6</v>
      </c>
      <c r="B33" s="92"/>
      <c r="C33" s="93" t="str">
        <f t="shared" si="1"/>
        <v>AB</v>
      </c>
      <c r="D33" s="93"/>
      <c r="E33" s="93"/>
      <c r="H33" s="93" t="str">
        <f t="shared" si="2"/>
        <v>Email: reporting@c-labs.ca</v>
      </c>
      <c r="I33" s="93"/>
      <c r="J33" s="93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2" t="s">
        <v>7</v>
      </c>
      <c r="B34" s="92"/>
      <c r="C34" s="93" t="str">
        <f t="shared" si="1"/>
        <v>T0B 1Z3</v>
      </c>
      <c r="D34" s="93"/>
      <c r="E34" s="93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95" t="s">
        <v>9</v>
      </c>
      <c r="B36" s="95"/>
      <c r="C36" s="95"/>
      <c r="D36" s="95"/>
      <c r="E36" s="95"/>
      <c r="F36" s="95"/>
      <c r="G36" s="95"/>
      <c r="H36" s="95"/>
      <c r="I36" s="95"/>
      <c r="J36" s="95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6" t="s">
        <v>67</v>
      </c>
      <c r="C37" s="96"/>
      <c r="D37" s="96"/>
      <c r="E37" s="96"/>
      <c r="F37" s="96"/>
      <c r="G37" s="96"/>
      <c r="H37" s="96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0" t="s">
        <v>69</v>
      </c>
      <c r="D46" s="91"/>
      <c r="E46" s="89"/>
      <c r="F46" s="88" t="s">
        <v>76</v>
      </c>
      <c r="G46" s="88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1"/>
      <c r="D47" s="91"/>
      <c r="E47" s="89"/>
      <c r="F47" s="88"/>
      <c r="G47" s="88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1"/>
      <c r="D48" s="91"/>
      <c r="E48" s="89"/>
      <c r="F48" s="88"/>
      <c r="G48" s="88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9">
        <f ca="1">TODAY()</f>
        <v>46167</v>
      </c>
      <c r="F1" s="93"/>
      <c r="G1" s="116"/>
      <c r="H1" s="117"/>
      <c r="I1" s="117"/>
      <c r="J1" s="118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9"/>
      <c r="H2" s="84"/>
      <c r="I2" s="84"/>
      <c r="J2" s="12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00" t="s">
        <v>58</v>
      </c>
      <c r="B3" s="100"/>
      <c r="C3" s="100"/>
      <c r="D3" s="100"/>
      <c r="E3" s="100"/>
      <c r="G3" s="119"/>
      <c r="H3" s="84"/>
      <c r="I3" s="84"/>
      <c r="J3" s="120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93" t="str">
        <f>FrontPage!C5</f>
        <v>Bar N Ranch</v>
      </c>
      <c r="D4" s="93"/>
      <c r="E4" s="93"/>
      <c r="G4" s="121"/>
      <c r="H4" s="122"/>
      <c r="I4" s="122"/>
      <c r="J4" s="123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93" t="str">
        <f>FrontPage!C6</f>
        <v>Barry Bar</v>
      </c>
      <c r="D5" s="93"/>
      <c r="E5" s="93"/>
      <c r="G5" t="s">
        <v>59</v>
      </c>
      <c r="H5" t="s">
        <v>60</v>
      </c>
    </row>
    <row r="6" spans="1:28" x14ac:dyDescent="0.25">
      <c r="B6" s="9" t="s">
        <v>4</v>
      </c>
      <c r="C6" s="93" t="str">
        <f>FrontPage!C7</f>
        <v>Box 32</v>
      </c>
      <c r="D6" s="93"/>
      <c r="E6" s="93"/>
      <c r="H6" t="s">
        <v>61</v>
      </c>
    </row>
    <row r="7" spans="1:28" x14ac:dyDescent="0.25">
      <c r="B7" s="9" t="s">
        <v>5</v>
      </c>
      <c r="C7" s="93" t="str">
        <f>FrontPage!C8</f>
        <v>Black Diamond</v>
      </c>
      <c r="D7" s="93"/>
      <c r="E7" s="93"/>
      <c r="H7" t="s">
        <v>62</v>
      </c>
    </row>
    <row r="8" spans="1:28" x14ac:dyDescent="0.25">
      <c r="B8" s="9" t="s">
        <v>6</v>
      </c>
      <c r="C8" s="93" t="str">
        <f>FrontPage!C9</f>
        <v>AB</v>
      </c>
      <c r="D8" s="93"/>
      <c r="E8" s="93"/>
      <c r="H8" t="s">
        <v>63</v>
      </c>
    </row>
    <row r="9" spans="1:28" ht="15.75" thickBot="1" x14ac:dyDescent="0.3">
      <c r="B9" s="9" t="s">
        <v>7</v>
      </c>
      <c r="C9" s="93" t="str">
        <f>FrontPage!C10</f>
        <v>T0B 1Z3</v>
      </c>
      <c r="D9" s="93"/>
      <c r="E9" s="93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8" t="s">
        <v>89</v>
      </c>
      <c r="F10" s="98"/>
      <c r="G10" s="61"/>
      <c r="H10" s="61"/>
      <c r="I10" s="61"/>
      <c r="J10" s="61"/>
    </row>
    <row r="11" spans="1:28" x14ac:dyDescent="0.25">
      <c r="A11" s="38" t="s">
        <v>66</v>
      </c>
      <c r="B11" s="96" t="s">
        <v>67</v>
      </c>
      <c r="C11" s="96"/>
      <c r="D11" s="96"/>
      <c r="E11" s="96"/>
      <c r="F11" s="96"/>
      <c r="G11" s="96"/>
      <c r="H11" s="96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89"/>
      <c r="C18" s="89"/>
      <c r="D18" s="107" t="s">
        <v>86</v>
      </c>
      <c r="E18" s="89"/>
      <c r="F18" s="89"/>
      <c r="G18" s="92" t="s">
        <v>84</v>
      </c>
      <c r="H18" s="92"/>
      <c r="I18" s="92"/>
      <c r="J18" s="41">
        <f>J17*Z1</f>
        <v>79.2</v>
      </c>
    </row>
    <row r="19" spans="1:10" ht="6" customHeight="1" thickBot="1" x14ac:dyDescent="0.3">
      <c r="B19" s="89"/>
      <c r="C19" s="89"/>
      <c r="D19" s="107"/>
      <c r="E19" s="89"/>
      <c r="F19" s="89"/>
      <c r="I19" s="9"/>
    </row>
    <row r="20" spans="1:10" ht="15.75" thickBot="1" x14ac:dyDescent="0.3">
      <c r="B20" s="89"/>
      <c r="C20" s="89"/>
      <c r="D20" s="107"/>
      <c r="E20" s="89"/>
      <c r="F20" s="89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46167</v>
      </c>
    </row>
    <row r="24" spans="1:10" ht="7.15" customHeight="1" x14ac:dyDescent="0.25"/>
    <row r="25" spans="1:10" x14ac:dyDescent="0.25">
      <c r="A25" s="100" t="s">
        <v>58</v>
      </c>
      <c r="B25" s="100"/>
      <c r="C25" s="100"/>
      <c r="D25" s="100"/>
      <c r="E25" s="100"/>
      <c r="G25" t="s">
        <v>59</v>
      </c>
      <c r="H25" t="s">
        <v>60</v>
      </c>
    </row>
    <row r="26" spans="1:10" x14ac:dyDescent="0.25">
      <c r="B26" s="9" t="s">
        <v>0</v>
      </c>
      <c r="C26" s="93" t="str">
        <f t="shared" ref="C26:C31" si="1">C4</f>
        <v>Bar N Ranch</v>
      </c>
      <c r="D26" s="93"/>
      <c r="E26" s="93"/>
      <c r="H26" t="s">
        <v>61</v>
      </c>
    </row>
    <row r="27" spans="1:10" x14ac:dyDescent="0.25">
      <c r="B27" s="9" t="s">
        <v>2</v>
      </c>
      <c r="C27" s="93" t="str">
        <f t="shared" si="1"/>
        <v>Barry Bar</v>
      </c>
      <c r="D27" s="93"/>
      <c r="E27" s="93"/>
      <c r="H27" t="s">
        <v>62</v>
      </c>
    </row>
    <row r="28" spans="1:10" x14ac:dyDescent="0.25">
      <c r="B28" s="9" t="s">
        <v>4</v>
      </c>
      <c r="C28" s="93" t="str">
        <f t="shared" si="1"/>
        <v>Box 32</v>
      </c>
      <c r="D28" s="93"/>
      <c r="E28" s="93"/>
      <c r="H28" t="s">
        <v>63</v>
      </c>
    </row>
    <row r="29" spans="1:10" x14ac:dyDescent="0.25">
      <c r="B29" s="9" t="s">
        <v>5</v>
      </c>
      <c r="C29" s="93" t="str">
        <f t="shared" si="1"/>
        <v>Black Diamond</v>
      </c>
      <c r="D29" s="93"/>
      <c r="E29" s="93"/>
      <c r="H29" t="s">
        <v>64</v>
      </c>
    </row>
    <row r="30" spans="1:10" x14ac:dyDescent="0.25">
      <c r="B30" s="9" t="s">
        <v>6</v>
      </c>
      <c r="C30" s="93" t="str">
        <f t="shared" si="1"/>
        <v>AB</v>
      </c>
      <c r="D30" s="93"/>
      <c r="E30" s="93"/>
      <c r="H30" t="s">
        <v>65</v>
      </c>
    </row>
    <row r="31" spans="1:10" ht="15.75" thickBot="1" x14ac:dyDescent="0.3">
      <c r="B31" s="9" t="s">
        <v>7</v>
      </c>
      <c r="C31" s="93" t="str">
        <f t="shared" si="1"/>
        <v>T0B 1Z3</v>
      </c>
      <c r="D31" s="93"/>
      <c r="E31" s="93"/>
    </row>
    <row r="32" spans="1:10" ht="12.6" customHeight="1" thickTop="1" x14ac:dyDescent="0.25">
      <c r="A32" s="61" t="s">
        <v>9</v>
      </c>
      <c r="B32" s="61"/>
      <c r="C32" s="61"/>
      <c r="D32" s="61"/>
      <c r="E32" s="98" t="s">
        <v>88</v>
      </c>
      <c r="F32" s="98"/>
      <c r="G32" s="61"/>
      <c r="H32" s="61"/>
      <c r="I32" s="61"/>
      <c r="J32" s="61"/>
    </row>
    <row r="33" spans="1:10" x14ac:dyDescent="0.25">
      <c r="A33" s="38" t="s">
        <v>66</v>
      </c>
      <c r="B33" s="96" t="s">
        <v>67</v>
      </c>
      <c r="C33" s="96"/>
      <c r="D33" s="96"/>
      <c r="E33" s="96"/>
      <c r="F33" s="96"/>
      <c r="G33" s="96"/>
      <c r="H33" s="96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9" t="s">
        <v>87</v>
      </c>
      <c r="C40" s="110"/>
      <c r="D40" s="108" t="s">
        <v>86</v>
      </c>
      <c r="E40" s="101" t="s">
        <v>85</v>
      </c>
      <c r="F40" s="102"/>
      <c r="G40" s="115" t="s">
        <v>84</v>
      </c>
      <c r="H40" s="92"/>
      <c r="I40" s="92"/>
      <c r="J40" s="41">
        <f>J18</f>
        <v>79.2</v>
      </c>
    </row>
    <row r="41" spans="1:10" ht="6" customHeight="1" x14ac:dyDescent="0.25">
      <c r="B41" s="111"/>
      <c r="C41" s="112"/>
      <c r="D41" s="108"/>
      <c r="E41" s="103"/>
      <c r="F41" s="104"/>
      <c r="I41" s="9"/>
    </row>
    <row r="42" spans="1:10" ht="15.75" thickBot="1" x14ac:dyDescent="0.3">
      <c r="B42" s="113"/>
      <c r="C42" s="114"/>
      <c r="D42" s="108"/>
      <c r="E42" s="105"/>
      <c r="F42" s="106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2026-05-25T19:39:43Z</dcterms:modified>
</cp:coreProperties>
</file>