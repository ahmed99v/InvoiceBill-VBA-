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e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WORK\Ahmed\GIT OWN REPO\InvoiceBill-VBA-\"/>
    </mc:Choice>
  </mc:AlternateContent>
  <xr:revisionPtr revIDLastSave="0" documentId="13_ncr:1_{50064AA8-E4AF-4404-89F7-4ABFD82A7194}" xr6:coauthVersionLast="47" xr6:coauthVersionMax="47" xr10:uidLastSave="{00000000-0000-0000-0000-000000000000}"/>
  <bookViews>
    <workbookView xWindow="-120" yWindow="-120" windowWidth="24240" windowHeight="13020" tabRatio="627" activeTab="2" xr2:uid="{00000000-000D-0000-FFFF-FFFF00000000}"/>
  </bookViews>
  <sheets>
    <sheet name="FrontPage" sheetId="1" r:id="rId1"/>
    <sheet name="Customers&amp;Prices" sheetId="7" r:id="rId2"/>
    <sheet name="Graphics" sheetId="6" r:id="rId3"/>
    <sheet name="Transactions" sheetId="4" r:id="rId4"/>
    <sheet name="Invoice(old)" sheetId="2" r:id="rId5"/>
    <sheet name="Invoice" sheetId="8" r:id="rId6"/>
  </sheets>
  <functionGroups builtInGroupCount="19"/>
  <definedNames>
    <definedName name="_xlnm.Print_Area" localSheetId="5">Invoice!$A$1:$J$43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13" i="8" l="1"/>
  <c r="J35" i="8" s="1"/>
  <c r="J14" i="8"/>
  <c r="J36" i="8" s="1"/>
  <c r="J15" i="8"/>
  <c r="J37" i="8" s="1"/>
  <c r="J16" i="8"/>
  <c r="J38" i="8" s="1"/>
  <c r="J12" i="8"/>
  <c r="C9" i="8"/>
  <c r="C31" i="8" s="1"/>
  <c r="C8" i="8"/>
  <c r="C30" i="8" s="1"/>
  <c r="C7" i="8"/>
  <c r="C29" i="8" s="1"/>
  <c r="C6" i="8"/>
  <c r="C28" i="8" s="1"/>
  <c r="C5" i="8"/>
  <c r="C27" i="8" s="1"/>
  <c r="C4" i="8"/>
  <c r="C26" i="8" s="1"/>
  <c r="E1" i="8"/>
  <c r="E23" i="8" s="1"/>
  <c r="B23" i="8"/>
  <c r="A34" i="8"/>
  <c r="B34" i="8"/>
  <c r="I34" i="8"/>
  <c r="A35" i="8"/>
  <c r="B35" i="8"/>
  <c r="I35" i="8"/>
  <c r="A36" i="8"/>
  <c r="B36" i="8"/>
  <c r="I36" i="8"/>
  <c r="A37" i="8"/>
  <c r="B37" i="8"/>
  <c r="I37" i="8"/>
  <c r="A38" i="8"/>
  <c r="B38" i="8"/>
  <c r="I38" i="8"/>
  <c r="J23" i="2"/>
  <c r="J21" i="2"/>
  <c r="J20" i="2"/>
  <c r="J16" i="2"/>
  <c r="J41" i="2" s="1"/>
  <c r="J17" i="2"/>
  <c r="J42" i="2" s="1"/>
  <c r="J18" i="2"/>
  <c r="J43" i="2" s="1"/>
  <c r="A38" i="2"/>
  <c r="A41" i="2"/>
  <c r="J14" i="2"/>
  <c r="J39" i="2" s="1"/>
  <c r="J15" i="2"/>
  <c r="J40" i="2" s="1"/>
  <c r="J38" i="2"/>
  <c r="H30" i="2"/>
  <c r="H31" i="2"/>
  <c r="H32" i="2"/>
  <c r="H33" i="2"/>
  <c r="H29" i="2"/>
  <c r="H28" i="2"/>
  <c r="C6" i="2"/>
  <c r="C31" i="2" s="1"/>
  <c r="C7" i="2"/>
  <c r="C8" i="2"/>
  <c r="C9" i="2"/>
  <c r="C5" i="2"/>
  <c r="C30" i="2" s="1"/>
  <c r="C4" i="2"/>
  <c r="C29" i="2" s="1"/>
  <c r="H1" i="2"/>
  <c r="H26" i="2" s="1"/>
  <c r="J44" i="2"/>
  <c r="I44" i="2"/>
  <c r="B44" i="2"/>
  <c r="A44" i="2"/>
  <c r="I43" i="2"/>
  <c r="B43" i="2"/>
  <c r="A43" i="2"/>
  <c r="I42" i="2"/>
  <c r="B42" i="2"/>
  <c r="A42" i="2"/>
  <c r="I41" i="2"/>
  <c r="B41" i="2"/>
  <c r="I40" i="2"/>
  <c r="B40" i="2"/>
  <c r="A40" i="2"/>
  <c r="I39" i="2"/>
  <c r="B39" i="2"/>
  <c r="A39" i="2"/>
  <c r="I38" i="2"/>
  <c r="B38" i="2"/>
  <c r="B26" i="2"/>
  <c r="P4" i="7"/>
  <c r="Q4" i="7"/>
  <c r="R4" i="7"/>
  <c r="U4" i="7"/>
  <c r="V4" i="7"/>
  <c r="Y4" i="7"/>
  <c r="Z4" i="7"/>
  <c r="AC4" i="7"/>
  <c r="AD4" i="7"/>
  <c r="AG4" i="7"/>
  <c r="AH4" i="7"/>
  <c r="AK4" i="7"/>
  <c r="AL4" i="7"/>
  <c r="AO4" i="7"/>
  <c r="AP4" i="7"/>
  <c r="AS4" i="7"/>
  <c r="AT4" i="7"/>
  <c r="U5" i="7"/>
  <c r="V5" i="7"/>
  <c r="Y5" i="7"/>
  <c r="Z5" i="7"/>
  <c r="AC5" i="7"/>
  <c r="AD5" i="7"/>
  <c r="AG5" i="7"/>
  <c r="AH5" i="7"/>
  <c r="AK5" i="7"/>
  <c r="AL5" i="7"/>
  <c r="AO5" i="7"/>
  <c r="AP5" i="7"/>
  <c r="AS5" i="7"/>
  <c r="AT5" i="7"/>
  <c r="P6" i="7"/>
  <c r="Q6" i="7"/>
  <c r="R6" i="7"/>
  <c r="U6" i="7"/>
  <c r="V6" i="7"/>
  <c r="Y6" i="7"/>
  <c r="Z6" i="7"/>
  <c r="AC6" i="7"/>
  <c r="AD6" i="7"/>
  <c r="AG6" i="7"/>
  <c r="AH6" i="7"/>
  <c r="AK6" i="7"/>
  <c r="AL6" i="7"/>
  <c r="AO6" i="7"/>
  <c r="AP6" i="7"/>
  <c r="AS6" i="7"/>
  <c r="AT6" i="7"/>
  <c r="J17" i="8" l="1"/>
  <c r="J34" i="8"/>
  <c r="C32" i="2"/>
  <c r="C33" i="2"/>
  <c r="C34" i="2"/>
  <c r="J39" i="8" l="1"/>
  <c r="J18" i="8"/>
  <c r="J45" i="2"/>
  <c r="J40" i="8" l="1"/>
  <c r="J20" i="8"/>
  <c r="J42" i="8" s="1"/>
  <c r="J48" i="2"/>
  <c r="J46" i="2"/>
</calcChain>
</file>

<file path=xl/sharedStrings.xml><?xml version="1.0" encoding="utf-8"?>
<sst xmlns="http://schemas.openxmlformats.org/spreadsheetml/2006/main" count="301" uniqueCount="90">
  <si>
    <t>Company Name</t>
  </si>
  <si>
    <t>Cash Sale</t>
  </si>
  <si>
    <t>Name</t>
  </si>
  <si>
    <t>Walk-In</t>
  </si>
  <si>
    <t>Billing Address</t>
  </si>
  <si>
    <t>City</t>
  </si>
  <si>
    <t>Province</t>
  </si>
  <si>
    <t>Postal</t>
  </si>
  <si>
    <t>Client</t>
  </si>
  <si>
    <t>Services</t>
  </si>
  <si>
    <t>Icon</t>
  </si>
  <si>
    <t>QR Code</t>
  </si>
  <si>
    <t>Price</t>
  </si>
  <si>
    <t>Pricing</t>
  </si>
  <si>
    <r>
      <t xml:space="preserve">Services-Water (Routine = </t>
    </r>
    <r>
      <rPr>
        <b/>
        <sz val="11"/>
        <color theme="1"/>
        <rFont val="Calibri"/>
        <family val="2"/>
        <scheme val="minor"/>
      </rPr>
      <t>bold)</t>
    </r>
  </si>
  <si>
    <r>
      <t xml:space="preserve">Services-Soil (Routine = </t>
    </r>
    <r>
      <rPr>
        <b/>
        <sz val="11"/>
        <color theme="1"/>
        <rFont val="Calibri"/>
        <family val="2"/>
        <scheme val="minor"/>
      </rPr>
      <t>bold)</t>
    </r>
  </si>
  <si>
    <t>Potable</t>
  </si>
  <si>
    <t>Total/E.Coli</t>
  </si>
  <si>
    <t>Potable Package</t>
  </si>
  <si>
    <t>Total Metals</t>
  </si>
  <si>
    <t>Dissolve Metals</t>
  </si>
  <si>
    <t>IRB</t>
  </si>
  <si>
    <t>SRB</t>
  </si>
  <si>
    <t>NRC - Nitrate &amp; E.Coli</t>
  </si>
  <si>
    <t>Septic Soils  (Particle Size; Basic)*</t>
  </si>
  <si>
    <r>
      <t xml:space="preserve">Particle Size - Detailed </t>
    </r>
    <r>
      <rPr>
        <sz val="8"/>
        <color theme="1"/>
        <rFont val="Calibri"/>
        <family val="2"/>
        <scheme val="minor"/>
      </rPr>
      <t>*surcharge; if applicable</t>
    </r>
  </si>
  <si>
    <t>Misc.</t>
  </si>
  <si>
    <t>Class 2 - Soils</t>
  </si>
  <si>
    <t>Class 2 - Sludge (Hydrovac)</t>
  </si>
  <si>
    <t>Timing</t>
  </si>
  <si>
    <t>N</t>
  </si>
  <si>
    <t>R</t>
  </si>
  <si>
    <t>E</t>
  </si>
  <si>
    <t>SRB - Normal Timing</t>
  </si>
  <si>
    <t>SRB - Rush Timing</t>
  </si>
  <si>
    <t>SRB - Emerg Timing</t>
  </si>
  <si>
    <t>Bar N Ranch</t>
  </si>
  <si>
    <t>Barry Bar</t>
  </si>
  <si>
    <t>Box 32</t>
  </si>
  <si>
    <t>Black Diamond</t>
  </si>
  <si>
    <t>AB</t>
  </si>
  <si>
    <t>T0B 1Z3</t>
  </si>
  <si>
    <t>Casa Gee</t>
  </si>
  <si>
    <t>Mitch G</t>
  </si>
  <si>
    <t>37279 RRd 283</t>
  </si>
  <si>
    <t>Red Deer County</t>
  </si>
  <si>
    <t>T4E 1Y9</t>
  </si>
  <si>
    <t>Dissolved Metals</t>
  </si>
  <si>
    <t>Soils</t>
  </si>
  <si>
    <r>
      <t>N0</t>
    </r>
    <r>
      <rPr>
        <vertAlign val="subscript"/>
        <sz val="16"/>
        <color theme="9"/>
        <rFont val="Calibri"/>
        <family val="2"/>
        <scheme val="minor"/>
      </rPr>
      <t>3</t>
    </r>
  </si>
  <si>
    <r>
      <t>N0</t>
    </r>
    <r>
      <rPr>
        <vertAlign val="subscript"/>
        <sz val="16"/>
        <color theme="5"/>
        <rFont val="Calibri"/>
        <family val="2"/>
        <scheme val="minor"/>
      </rPr>
      <t>3</t>
    </r>
  </si>
  <si>
    <r>
      <t>N0</t>
    </r>
    <r>
      <rPr>
        <vertAlign val="subscript"/>
        <sz val="16"/>
        <color rgb="FFFF0000"/>
        <rFont val="Calibri"/>
        <family val="2"/>
        <scheme val="minor"/>
      </rPr>
      <t>3</t>
    </r>
  </si>
  <si>
    <t>QR / Bar Code</t>
  </si>
  <si>
    <t>Date</t>
  </si>
  <si>
    <t>Subtotal</t>
  </si>
  <si>
    <t>GST</t>
  </si>
  <si>
    <t>Paid Deb/CrdCrd</t>
  </si>
  <si>
    <t>Invoice</t>
  </si>
  <si>
    <t>Customer</t>
  </si>
  <si>
    <t>Provider</t>
  </si>
  <si>
    <t>Central Labs Ltd.</t>
  </si>
  <si>
    <t>B5, 53-Burnt Park Drive</t>
  </si>
  <si>
    <t>Red Deer, AB; T4P 0J7</t>
  </si>
  <si>
    <t>Ph: (403) 348-8378</t>
  </si>
  <si>
    <t>GST: 81583 0427 RT0001</t>
  </si>
  <si>
    <t>Email: reporting@c-labs.ca</t>
  </si>
  <si>
    <t>Quantity</t>
  </si>
  <si>
    <t>Service</t>
  </si>
  <si>
    <t>Total</t>
  </si>
  <si>
    <t>Paid                         Cash</t>
  </si>
  <si>
    <t>Duplicate</t>
  </si>
  <si>
    <t>PIN:</t>
  </si>
  <si>
    <t>Product:</t>
  </si>
  <si>
    <t>Company:</t>
  </si>
  <si>
    <t>(R)</t>
  </si>
  <si>
    <t>(E)</t>
  </si>
  <si>
    <t>Paid              Visa/Debit</t>
  </si>
  <si>
    <t>Invoice#</t>
  </si>
  <si>
    <t>Sub Total</t>
  </si>
  <si>
    <t>Cash Paid</t>
  </si>
  <si>
    <t>PAID</t>
  </si>
  <si>
    <t>password</t>
  </si>
  <si>
    <t>Test Client</t>
  </si>
  <si>
    <t>ABC</t>
  </si>
  <si>
    <t>GST (81583 0427 RT0001)</t>
  </si>
  <si>
    <t>Paid                       Visa/Debit</t>
  </si>
  <si>
    <t>or</t>
  </si>
  <si>
    <t>Paid</t>
  </si>
  <si>
    <t>Customer Copy</t>
  </si>
  <si>
    <t>Office Copy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</si>
</sst>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6" formatCode="&quot;$&quot;#,##0_);[Red]\(&quot;$&quot;#,##0\)"/>
    <numFmt numFmtId="7" formatCode="&quot;$&quot;#,##0.00_);\(&quot;$&quot;#,##0.00\)"/>
    <numFmt numFmtId="164" formatCode="&quot;$&quot;#,##0.00"/>
  </numFmts>
  <fonts count="3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i/>
      <sz val="8"/>
      <color theme="1"/>
      <name val="Calibri"/>
      <family val="2"/>
      <scheme val="minor"/>
    </font>
    <font>
      <sz val="9"/>
      <color theme="0"/>
      <name val="Calibri"/>
      <family val="2"/>
      <scheme val="minor"/>
    </font>
    <font>
      <sz val="16"/>
      <color theme="9"/>
      <name val="Calibri"/>
      <family val="2"/>
      <scheme val="minor"/>
    </font>
    <font>
      <vertAlign val="subscript"/>
      <sz val="16"/>
      <color theme="9"/>
      <name val="Calibri"/>
      <family val="2"/>
      <scheme val="minor"/>
    </font>
    <font>
      <sz val="16"/>
      <color rgb="FFFF0000"/>
      <name val="Calibri"/>
      <family val="2"/>
      <scheme val="minor"/>
    </font>
    <font>
      <vertAlign val="subscript"/>
      <sz val="16"/>
      <color rgb="FFFF0000"/>
      <name val="Calibri"/>
      <family val="2"/>
      <scheme val="minor"/>
    </font>
    <font>
      <sz val="16"/>
      <color theme="5"/>
      <name val="Calibri"/>
      <family val="2"/>
      <scheme val="minor"/>
    </font>
    <font>
      <vertAlign val="subscript"/>
      <sz val="16"/>
      <color theme="5"/>
      <name val="Calibri"/>
      <family val="2"/>
      <scheme val="minor"/>
    </font>
    <font>
      <b/>
      <sz val="12"/>
      <color theme="7" tint="0.39997558519241921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1"/>
      <color theme="7" tint="-0.499984740745262"/>
      <name val="Calibri"/>
      <family val="2"/>
      <scheme val="minor"/>
    </font>
    <font>
      <b/>
      <sz val="11"/>
      <color theme="8" tint="-0.499984740745262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sz val="11"/>
      <color theme="0" tint="-4.9989318521683403E-2"/>
      <name val="Calibri"/>
      <family val="2"/>
      <scheme val="minor"/>
    </font>
    <font>
      <sz val="11"/>
      <color theme="1" tint="0.499984740745262"/>
      <name val="Calibri"/>
      <family val="2"/>
      <scheme val="minor"/>
    </font>
    <font>
      <b/>
      <sz val="11"/>
      <color rgb="FF002060"/>
      <name val="Calibri"/>
      <family val="2"/>
      <scheme val="minor"/>
    </font>
    <font>
      <b/>
      <sz val="12"/>
      <color rgb="FF00206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i/>
      <sz val="14"/>
      <color rgb="FFFFFF00"/>
      <name val="Algerian"/>
      <family val="5"/>
    </font>
    <font>
      <sz val="16"/>
      <color theme="1"/>
      <name val="Bernard MT Condensed"/>
      <family val="1"/>
    </font>
    <font>
      <b/>
      <i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7" tint="0.39997558519241921"/>
      <name val="Calibri"/>
      <family val="2"/>
      <scheme val="minor"/>
    </font>
    <font>
      <b/>
      <sz val="11"/>
      <color theme="5" tint="-0.249977111117893"/>
      <name val="Calibri"/>
      <family val="2"/>
      <scheme val="minor"/>
    </font>
    <font>
      <b/>
      <sz val="12"/>
      <color rgb="FF0070C0"/>
      <name val="Calibri"/>
      <family val="2"/>
      <scheme val="minor"/>
    </font>
    <font>
      <b/>
      <i/>
      <sz val="12"/>
      <color rgb="FF0070C0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theme="2" tint="-0.249977111117893"/>
      <name val="Calibri"/>
      <family val="2"/>
      <scheme val="minor"/>
    </font>
    <font>
      <sz val="16"/>
      <color rgb="FFFFFF00"/>
      <name val="Bernard MT Condensed"/>
      <family val="1"/>
    </font>
    <font>
      <b/>
      <sz val="11"/>
      <color theme="5" tint="-0.499984740745262"/>
      <name val="Calibri"/>
      <family val="2"/>
      <scheme val="minor"/>
    </font>
    <font>
      <b/>
      <sz val="12"/>
      <color theme="7" tint="0.39997558519241921"/>
      <name val="Arial Black"/>
      <family val="2"/>
    </font>
  </fonts>
  <fills count="1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B1EF9B"/>
        <bgColor indexed="64"/>
      </patternFill>
    </fill>
    <fill>
      <patternFill patternType="solid">
        <fgColor rgb="FFBD9DE7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2" tint="-0.749992370372631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DashDot">
        <color theme="2"/>
      </left>
      <right style="medium">
        <color theme="0" tint="-0.24994659260841701"/>
      </right>
      <top style="mediumDashDot">
        <color theme="2"/>
      </top>
      <bottom style="medium">
        <color theme="0" tint="-0.24994659260841701"/>
      </bottom>
      <diagonal/>
    </border>
    <border>
      <left/>
      <right/>
      <top style="dotted">
        <color indexed="64"/>
      </top>
      <bottom/>
      <diagonal/>
    </border>
    <border>
      <left/>
      <right/>
      <top/>
      <bottom style="dotted">
        <color indexed="64"/>
      </bottom>
      <diagonal/>
    </border>
    <border>
      <left/>
      <right/>
      <top style="dotted">
        <color indexed="64"/>
      </top>
      <bottom style="dotted">
        <color indexed="64"/>
      </bottom>
      <diagonal/>
    </border>
    <border>
      <left/>
      <right/>
      <top style="double">
        <color auto="1"/>
      </top>
      <bottom/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124">
    <xf numFmtId="0" fontId="0" fillId="0" borderId="0" xfId="0"/>
    <xf numFmtId="0" fontId="0" fillId="0" borderId="0" xfId="0" applyAlignment="1">
      <alignment horizontal="center"/>
    </xf>
    <xf numFmtId="0" fontId="0" fillId="6" borderId="0" xfId="0" applyFill="1"/>
    <xf numFmtId="0" fontId="0" fillId="2" borderId="0" xfId="0" applyFill="1"/>
    <xf numFmtId="0" fontId="0" fillId="7" borderId="0" xfId="0" applyFill="1"/>
    <xf numFmtId="0" fontId="0" fillId="8" borderId="0" xfId="0" applyFill="1"/>
    <xf numFmtId="0" fontId="15" fillId="7" borderId="0" xfId="0" applyFont="1" applyFill="1"/>
    <xf numFmtId="0" fontId="14" fillId="7" borderId="0" xfId="0" applyFont="1" applyFill="1" applyAlignment="1">
      <alignment horizontal="center"/>
    </xf>
    <xf numFmtId="0" fontId="4" fillId="0" borderId="0" xfId="0" applyFont="1" applyAlignment="1">
      <alignment horizontal="center" wrapText="1"/>
    </xf>
    <xf numFmtId="0" fontId="0" fillId="0" borderId="0" xfId="0" applyAlignment="1">
      <alignment horizontal="right"/>
    </xf>
    <xf numFmtId="0" fontId="0" fillId="0" borderId="2" xfId="0" applyBorder="1"/>
    <xf numFmtId="0" fontId="4" fillId="0" borderId="0" xfId="0" applyFont="1" applyAlignment="1">
      <alignment wrapText="1"/>
    </xf>
    <xf numFmtId="0" fontId="6" fillId="0" borderId="0" xfId="0" applyFont="1" applyAlignment="1">
      <alignment horizontal="center" wrapText="1"/>
    </xf>
    <xf numFmtId="0" fontId="5" fillId="0" borderId="0" xfId="0" applyFont="1" applyAlignment="1">
      <alignment horizontal="center" wrapText="1"/>
    </xf>
    <xf numFmtId="0" fontId="7" fillId="3" borderId="0" xfId="0" applyFont="1" applyFill="1" applyAlignment="1">
      <alignment wrapText="1"/>
    </xf>
    <xf numFmtId="0" fontId="2" fillId="3" borderId="0" xfId="0" applyFont="1" applyFill="1"/>
    <xf numFmtId="0" fontId="2" fillId="2" borderId="0" xfId="0" applyFont="1" applyFill="1"/>
    <xf numFmtId="0" fontId="7" fillId="2" borderId="0" xfId="0" applyFont="1" applyFill="1" applyAlignment="1">
      <alignment horizontal="center" wrapText="1"/>
    </xf>
    <xf numFmtId="0" fontId="8" fillId="0" borderId="0" xfId="0" applyFont="1" applyAlignment="1">
      <alignment horizontal="left" vertical="center"/>
    </xf>
    <xf numFmtId="0" fontId="10" fillId="0" borderId="0" xfId="0" applyFont="1" applyAlignment="1">
      <alignment horizontal="left" vertical="center"/>
    </xf>
    <xf numFmtId="0" fontId="12" fillId="0" borderId="0" xfId="0" applyFont="1" applyAlignment="1">
      <alignment horizontal="left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4" fontId="0" fillId="0" borderId="0" xfId="0" applyNumberFormat="1"/>
    <xf numFmtId="4" fontId="4" fillId="0" borderId="0" xfId="0" applyNumberFormat="1" applyFont="1"/>
    <xf numFmtId="4" fontId="1" fillId="0" borderId="0" xfId="0" applyNumberFormat="1" applyFont="1"/>
    <xf numFmtId="4" fontId="2" fillId="2" borderId="0" xfId="0" applyNumberFormat="1" applyFont="1" applyFill="1"/>
    <xf numFmtId="4" fontId="5" fillId="0" borderId="0" xfId="0" applyNumberFormat="1" applyFont="1" applyAlignment="1">
      <alignment horizontal="center" wrapText="1"/>
    </xf>
    <xf numFmtId="0" fontId="5" fillId="2" borderId="0" xfId="0" applyFont="1" applyFill="1" applyAlignment="1">
      <alignment horizontal="center" wrapText="1"/>
    </xf>
    <xf numFmtId="0" fontId="14" fillId="7" borderId="1" xfId="0" applyFont="1" applyFill="1" applyBorder="1" applyAlignment="1">
      <alignment horizontal="right"/>
    </xf>
    <xf numFmtId="0" fontId="0" fillId="9" borderId="0" xfId="0" applyFill="1"/>
    <xf numFmtId="0" fontId="0" fillId="9" borderId="3" xfId="0" applyFill="1" applyBorder="1"/>
    <xf numFmtId="0" fontId="16" fillId="9" borderId="0" xfId="0" applyFont="1" applyFill="1" applyAlignment="1">
      <alignment horizontal="right"/>
    </xf>
    <xf numFmtId="0" fontId="17" fillId="9" borderId="4" xfId="0" applyFont="1" applyFill="1" applyBorder="1"/>
    <xf numFmtId="0" fontId="17" fillId="9" borderId="5" xfId="0" applyFont="1" applyFill="1" applyBorder="1"/>
    <xf numFmtId="0" fontId="17" fillId="9" borderId="0" xfId="0" applyFont="1" applyFill="1"/>
    <xf numFmtId="0" fontId="17" fillId="9" borderId="3" xfId="0" applyFont="1" applyFill="1" applyBorder="1"/>
    <xf numFmtId="0" fontId="0" fillId="0" borderId="0" xfId="0" applyAlignment="1">
      <alignment horizontal="left"/>
    </xf>
    <xf numFmtId="0" fontId="18" fillId="0" borderId="0" xfId="0" applyFont="1"/>
    <xf numFmtId="0" fontId="18" fillId="0" borderId="0" xfId="0" applyFont="1" applyAlignment="1">
      <alignment horizontal="center"/>
    </xf>
    <xf numFmtId="164" fontId="18" fillId="0" borderId="6" xfId="0" applyNumberFormat="1" applyFont="1" applyBorder="1"/>
    <xf numFmtId="164" fontId="0" fillId="0" borderId="0" xfId="0" applyNumberFormat="1"/>
    <xf numFmtId="0" fontId="0" fillId="0" borderId="7" xfId="0" applyBorder="1"/>
    <xf numFmtId="0" fontId="20" fillId="10" borderId="0" xfId="0" applyFont="1" applyFill="1"/>
    <xf numFmtId="0" fontId="0" fillId="10" borderId="0" xfId="0" applyFill="1"/>
    <xf numFmtId="0" fontId="21" fillId="8" borderId="0" xfId="0" applyFont="1" applyFill="1" applyAlignment="1">
      <alignment horizontal="right"/>
    </xf>
    <xf numFmtId="0" fontId="22" fillId="7" borderId="0" xfId="0" applyFont="1" applyFill="1" applyAlignment="1">
      <alignment horizontal="center"/>
    </xf>
    <xf numFmtId="0" fontId="0" fillId="11" borderId="0" xfId="0" applyFill="1"/>
    <xf numFmtId="0" fontId="24" fillId="7" borderId="0" xfId="0" applyFont="1" applyFill="1"/>
    <xf numFmtId="0" fontId="26" fillId="0" borderId="0" xfId="0" applyFont="1"/>
    <xf numFmtId="0" fontId="28" fillId="6" borderId="0" xfId="0" applyFont="1" applyFill="1" applyAlignment="1">
      <alignment horizontal="right" vertical="center"/>
    </xf>
    <xf numFmtId="0" fontId="27" fillId="10" borderId="0" xfId="0" applyFont="1" applyFill="1"/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1" fillId="0" borderId="0" xfId="0" applyFont="1" applyAlignment="1">
      <alignment horizontal="center"/>
    </xf>
    <xf numFmtId="14" fontId="0" fillId="0" borderId="0" xfId="0" applyNumberFormat="1" applyAlignment="1">
      <alignment horizontal="center"/>
    </xf>
    <xf numFmtId="7" fontId="0" fillId="0" borderId="0" xfId="0" applyNumberFormat="1" applyAlignment="1">
      <alignment horizontal="center"/>
    </xf>
    <xf numFmtId="14" fontId="1" fillId="0" borderId="0" xfId="0" applyNumberFormat="1" applyFont="1" applyAlignment="1">
      <alignment horizontal="center"/>
    </xf>
    <xf numFmtId="14" fontId="0" fillId="0" borderId="0" xfId="0" applyNumberFormat="1"/>
    <xf numFmtId="164" fontId="1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0" fontId="32" fillId="5" borderId="0" xfId="0" applyFont="1" applyFill="1"/>
    <xf numFmtId="164" fontId="1" fillId="0" borderId="15" xfId="0" applyNumberFormat="1" applyFont="1" applyBorder="1"/>
    <xf numFmtId="0" fontId="0" fillId="0" borderId="16" xfId="0" applyBorder="1" applyAlignment="1">
      <alignment horizontal="right"/>
    </xf>
    <xf numFmtId="164" fontId="0" fillId="0" borderId="6" xfId="0" applyNumberFormat="1" applyBorder="1"/>
    <xf numFmtId="0" fontId="20" fillId="0" borderId="0" xfId="0" applyFont="1"/>
    <xf numFmtId="0" fontId="33" fillId="16" borderId="0" xfId="0" applyFont="1" applyFill="1"/>
    <xf numFmtId="7" fontId="23" fillId="15" borderId="1" xfId="0" applyNumberFormat="1" applyFont="1" applyFill="1" applyBorder="1"/>
    <xf numFmtId="0" fontId="29" fillId="15" borderId="1" xfId="0" applyFont="1" applyFill="1" applyBorder="1" applyAlignment="1">
      <alignment horizontal="center"/>
    </xf>
    <xf numFmtId="0" fontId="23" fillId="15" borderId="1" xfId="0" applyFont="1" applyFill="1" applyBorder="1" applyAlignment="1">
      <alignment horizontal="center"/>
    </xf>
    <xf numFmtId="0" fontId="0" fillId="15" borderId="1" xfId="0" applyFill="1" applyBorder="1"/>
    <xf numFmtId="0" fontId="0" fillId="15" borderId="1" xfId="0" applyFill="1" applyBorder="1" applyAlignment="1">
      <alignment horizontal="left"/>
    </xf>
    <xf numFmtId="0" fontId="23" fillId="15" borderId="1" xfId="0" applyFont="1" applyFill="1" applyBorder="1"/>
    <xf numFmtId="0" fontId="0" fillId="4" borderId="0" xfId="0" applyFill="1"/>
    <xf numFmtId="6" fontId="35" fillId="15" borderId="1" xfId="0" applyNumberFormat="1" applyFont="1" applyFill="1" applyBorder="1" applyAlignment="1">
      <alignment horizontal="center" vertical="center"/>
    </xf>
    <xf numFmtId="0" fontId="0" fillId="17" borderId="0" xfId="0" applyFill="1"/>
    <xf numFmtId="0" fontId="21" fillId="4" borderId="1" xfId="0" applyFont="1" applyFill="1" applyBorder="1" applyAlignment="1">
      <alignment horizontal="center"/>
    </xf>
    <xf numFmtId="0" fontId="36" fillId="7" borderId="0" xfId="0" applyFont="1" applyFill="1" applyAlignment="1">
      <alignment horizontal="right" vertical="center"/>
    </xf>
    <xf numFmtId="0" fontId="0" fillId="6" borderId="0" xfId="0" applyFill="1" applyAlignment="1">
      <alignment horizontal="center"/>
    </xf>
    <xf numFmtId="0" fontId="34" fillId="8" borderId="0" xfId="0" applyFont="1" applyFill="1" applyAlignment="1">
      <alignment horizontal="center" wrapText="1"/>
    </xf>
    <xf numFmtId="0" fontId="25" fillId="8" borderId="0" xfId="0" applyFont="1" applyFill="1" applyAlignment="1">
      <alignment horizontal="center"/>
    </xf>
    <xf numFmtId="0" fontId="3" fillId="8" borderId="0" xfId="0" applyFont="1" applyFill="1" applyAlignment="1">
      <alignment horizontal="center" wrapText="1"/>
    </xf>
    <xf numFmtId="7" fontId="4" fillId="0" borderId="0" xfId="0" applyNumberFormat="1" applyFont="1" applyAlignment="1">
      <alignment horizontal="center" wrapText="1"/>
    </xf>
    <xf numFmtId="0" fontId="4" fillId="0" borderId="0" xfId="0" applyFont="1" applyAlignment="1">
      <alignment horizontal="center" wrapText="1"/>
    </xf>
    <xf numFmtId="0" fontId="0" fillId="0" borderId="0" xfId="0" applyAlignment="1">
      <alignment horizontal="center"/>
    </xf>
    <xf numFmtId="0" fontId="4" fillId="5" borderId="0" xfId="0" applyFont="1" applyFill="1" applyAlignment="1">
      <alignment horizontal="center" wrapText="1"/>
    </xf>
    <xf numFmtId="0" fontId="4" fillId="4" borderId="0" xfId="0" applyFont="1" applyFill="1" applyAlignment="1">
      <alignment horizontal="center" wrapText="1"/>
    </xf>
    <xf numFmtId="0" fontId="4" fillId="2" borderId="0" xfId="0" applyFont="1" applyFill="1" applyAlignment="1">
      <alignment horizontal="center" wrapText="1"/>
    </xf>
    <xf numFmtId="0" fontId="0" fillId="0" borderId="0" xfId="0" applyAlignment="1">
      <alignment horizontal="left"/>
    </xf>
    <xf numFmtId="0" fontId="26" fillId="0" borderId="0" xfId="0" applyFont="1" applyAlignment="1">
      <alignment horizontal="left"/>
    </xf>
    <xf numFmtId="0" fontId="18" fillId="0" borderId="0" xfId="0" applyFont="1" applyAlignment="1">
      <alignment horizontal="center"/>
    </xf>
    <xf numFmtId="0" fontId="0" fillId="0" borderId="0" xfId="0" applyAlignment="1">
      <alignment horizontal="right"/>
    </xf>
    <xf numFmtId="14" fontId="0" fillId="0" borderId="0" xfId="0" applyNumberFormat="1" applyAlignment="1">
      <alignment horizontal="left"/>
    </xf>
    <xf numFmtId="0" fontId="0" fillId="0" borderId="0" xfId="0" applyAlignment="1">
      <alignment horizontal="center" vertical="center" wrapText="1"/>
    </xf>
    <xf numFmtId="0" fontId="18" fillId="0" borderId="0" xfId="0" applyFont="1" applyAlignment="1">
      <alignment horizontal="right" wrapText="1"/>
    </xf>
    <xf numFmtId="0" fontId="19" fillId="3" borderId="6" xfId="0" applyFont="1" applyFill="1" applyBorder="1" applyAlignment="1">
      <alignment horizontal="center"/>
    </xf>
    <xf numFmtId="14" fontId="0" fillId="0" borderId="6" xfId="0" applyNumberFormat="1" applyBorder="1" applyAlignment="1">
      <alignment horizontal="left"/>
    </xf>
    <xf numFmtId="0" fontId="15" fillId="13" borderId="0" xfId="0" applyFont="1" applyFill="1" applyAlignment="1">
      <alignment horizontal="center" vertical="center" wrapText="1"/>
    </xf>
    <xf numFmtId="0" fontId="30" fillId="12" borderId="0" xfId="0" applyFont="1" applyFill="1" applyAlignment="1">
      <alignment horizontal="center" vertical="center" wrapText="1"/>
    </xf>
    <xf numFmtId="0" fontId="31" fillId="12" borderId="0" xfId="0" applyFont="1" applyFill="1" applyAlignment="1">
      <alignment horizontal="center" vertical="center" wrapText="1"/>
    </xf>
    <xf numFmtId="0" fontId="32" fillId="0" borderId="10" xfId="0" applyFont="1" applyBorder="1" applyAlignment="1">
      <alignment horizontal="center" vertical="center"/>
    </xf>
    <xf numFmtId="0" fontId="0" fillId="15" borderId="14" xfId="0" applyFill="1" applyBorder="1" applyAlignment="1">
      <alignment horizontal="center" vertical="center"/>
    </xf>
    <xf numFmtId="0" fontId="0" fillId="15" borderId="13" xfId="0" applyFill="1" applyBorder="1" applyAlignment="1">
      <alignment horizontal="center" vertical="center"/>
    </xf>
    <xf numFmtId="0" fontId="0" fillId="15" borderId="12" xfId="0" applyFill="1" applyBorder="1" applyAlignment="1">
      <alignment horizontal="center" vertical="center"/>
    </xf>
    <xf numFmtId="0" fontId="0" fillId="15" borderId="11" xfId="0" applyFill="1" applyBorder="1" applyAlignment="1">
      <alignment horizontal="center" vertical="center"/>
    </xf>
    <xf numFmtId="0" fontId="0" fillId="15" borderId="9" xfId="0" applyFill="1" applyBorder="1" applyAlignment="1">
      <alignment horizontal="center" vertical="center"/>
    </xf>
    <xf numFmtId="0" fontId="0" fillId="15" borderId="8" xfId="0" applyFill="1" applyBorder="1" applyAlignment="1">
      <alignment horizontal="center" vertical="center"/>
    </xf>
    <xf numFmtId="0" fontId="0" fillId="0" borderId="12" xfId="0" applyBorder="1" applyAlignment="1">
      <alignment horizontal="right"/>
    </xf>
    <xf numFmtId="0" fontId="0" fillId="0" borderId="14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8" xfId="0" applyBorder="1" applyAlignment="1">
      <alignment horizontal="center"/>
    </xf>
    <xf numFmtId="0" fontId="2" fillId="3" borderId="0" xfId="0" applyFont="1" applyFill="1" applyAlignment="1">
      <alignment horizontal="center"/>
    </xf>
    <xf numFmtId="0" fontId="0" fillId="14" borderId="14" xfId="0" applyFill="1" applyBorder="1" applyAlignment="1">
      <alignment horizontal="center" vertical="center" wrapText="1"/>
    </xf>
    <xf numFmtId="0" fontId="0" fillId="14" borderId="13" xfId="0" applyFill="1" applyBorder="1" applyAlignment="1">
      <alignment horizontal="center" vertical="center" wrapText="1"/>
    </xf>
    <xf numFmtId="0" fontId="0" fillId="14" borderId="12" xfId="0" applyFill="1" applyBorder="1" applyAlignment="1">
      <alignment horizontal="center" vertical="center" wrapText="1"/>
    </xf>
    <xf numFmtId="0" fontId="0" fillId="14" borderId="11" xfId="0" applyFill="1" applyBorder="1" applyAlignment="1">
      <alignment horizontal="center" vertical="center" wrapText="1"/>
    </xf>
    <xf numFmtId="0" fontId="0" fillId="14" borderId="9" xfId="0" applyFill="1" applyBorder="1" applyAlignment="1">
      <alignment horizontal="center" vertical="center" wrapText="1"/>
    </xf>
    <xf numFmtId="0" fontId="0" fillId="14" borderId="8" xfId="0" applyFill="1" applyBorder="1" applyAlignment="1">
      <alignment horizontal="center" vertical="center" wrapText="1"/>
    </xf>
    <xf numFmtId="0" fontId="32" fillId="0" borderId="0" xfId="0" applyFont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BD9DE7"/>
      <color rgb="FFB1EF9B"/>
      <color rgb="FFCE8AE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Drop" dropStyle="combo" dx="22" fmlaLink="Z1" noThreeD="1" sel="1" val="0">
  <itemLst>
    <item val="Potable"/>
    <item val="Total/E.Coli"/>
    <item val="Potable Package"/>
    <item val="Total Metals"/>
    <item val="Dissolve Metals"/>
    <item val="IRB"/>
    <item val="SRB"/>
    <item val="NRC - Nitrate &amp; E.Coli"/>
    <item val="Septic Soils  (Particle Size; Basic)*"/>
    <item val="Particle Size - Detailed *surcharge; if applicable"/>
    <item val="Misc."/>
  </itemLst>
</formControlPr>
</file>

<file path=xl/ctrlProps/ctrlProp2.xml><?xml version="1.0" encoding="utf-8"?>
<formControlPr xmlns="http://schemas.microsoft.com/office/spreadsheetml/2009/9/main" objectType="Drop" dropStyle="combo" dx="22" fmlaLink="Z2" noThreeD="1" sel="2" val="0">
  <itemLst>
    <item val="Cash Sale"/>
    <item val="Bar N Ranch"/>
    <item val="Casa Gee"/>
    <item val="Test Client"/>
  </itemLst>
</formControlPr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png"/><Relationship Id="rId13" Type="http://schemas.openxmlformats.org/officeDocument/2006/relationships/image" Target="../media/image16.png"/><Relationship Id="rId18" Type="http://schemas.openxmlformats.org/officeDocument/2006/relationships/image" Target="../media/image21.pn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15.png"/><Relationship Id="rId17" Type="http://schemas.openxmlformats.org/officeDocument/2006/relationships/image" Target="../media/image20.png"/><Relationship Id="rId2" Type="http://schemas.openxmlformats.org/officeDocument/2006/relationships/image" Target="../media/image5.png"/><Relationship Id="rId16" Type="http://schemas.openxmlformats.org/officeDocument/2006/relationships/image" Target="../media/image19.svg"/><Relationship Id="rId1" Type="http://schemas.openxmlformats.org/officeDocument/2006/relationships/image" Target="../media/image4.jpeg"/><Relationship Id="rId6" Type="http://schemas.openxmlformats.org/officeDocument/2006/relationships/image" Target="../media/image9.png"/><Relationship Id="rId11" Type="http://schemas.openxmlformats.org/officeDocument/2006/relationships/image" Target="../media/image14.svg"/><Relationship Id="rId5" Type="http://schemas.openxmlformats.org/officeDocument/2006/relationships/image" Target="../media/image8.png"/><Relationship Id="rId15" Type="http://schemas.openxmlformats.org/officeDocument/2006/relationships/image" Target="../media/image18.png"/><Relationship Id="rId10" Type="http://schemas.openxmlformats.org/officeDocument/2006/relationships/image" Target="../media/image13.png"/><Relationship Id="rId4" Type="http://schemas.openxmlformats.org/officeDocument/2006/relationships/image" Target="../media/image7.png"/><Relationship Id="rId9" Type="http://schemas.openxmlformats.org/officeDocument/2006/relationships/image" Target="../media/image12.png"/><Relationship Id="rId14" Type="http://schemas.openxmlformats.org/officeDocument/2006/relationships/image" Target="../media/image17.sv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21.png"/><Relationship Id="rId13" Type="http://schemas.openxmlformats.org/officeDocument/2006/relationships/image" Target="../media/image26.png"/><Relationship Id="rId18" Type="http://schemas.openxmlformats.org/officeDocument/2006/relationships/image" Target="../media/image31.svg"/><Relationship Id="rId26" Type="http://schemas.openxmlformats.org/officeDocument/2006/relationships/image" Target="../media/image39.png"/><Relationship Id="rId39" Type="http://schemas.openxmlformats.org/officeDocument/2006/relationships/image" Target="../media/image52.svg"/><Relationship Id="rId3" Type="http://schemas.openxmlformats.org/officeDocument/2006/relationships/image" Target="../media/image16.png"/><Relationship Id="rId21" Type="http://schemas.openxmlformats.org/officeDocument/2006/relationships/image" Target="../media/image34.png"/><Relationship Id="rId34" Type="http://schemas.openxmlformats.org/officeDocument/2006/relationships/image" Target="../media/image47.png"/><Relationship Id="rId42" Type="http://schemas.openxmlformats.org/officeDocument/2006/relationships/image" Target="../media/image15.png"/><Relationship Id="rId7" Type="http://schemas.openxmlformats.org/officeDocument/2006/relationships/image" Target="../media/image20.png"/><Relationship Id="rId12" Type="http://schemas.openxmlformats.org/officeDocument/2006/relationships/image" Target="../media/image25.svg"/><Relationship Id="rId17" Type="http://schemas.openxmlformats.org/officeDocument/2006/relationships/image" Target="../media/image30.png"/><Relationship Id="rId25" Type="http://schemas.openxmlformats.org/officeDocument/2006/relationships/image" Target="../media/image38.svg"/><Relationship Id="rId33" Type="http://schemas.openxmlformats.org/officeDocument/2006/relationships/image" Target="../media/image46.svg"/><Relationship Id="rId38" Type="http://schemas.openxmlformats.org/officeDocument/2006/relationships/image" Target="../media/image51.png"/><Relationship Id="rId2" Type="http://schemas.openxmlformats.org/officeDocument/2006/relationships/image" Target="../media/image14.svg"/><Relationship Id="rId16" Type="http://schemas.openxmlformats.org/officeDocument/2006/relationships/image" Target="../media/image29.svg"/><Relationship Id="rId20" Type="http://schemas.openxmlformats.org/officeDocument/2006/relationships/image" Target="../media/image33.svg"/><Relationship Id="rId29" Type="http://schemas.openxmlformats.org/officeDocument/2006/relationships/image" Target="../media/image42.svg"/><Relationship Id="rId41" Type="http://schemas.openxmlformats.org/officeDocument/2006/relationships/image" Target="../media/image54.svg"/><Relationship Id="rId1" Type="http://schemas.openxmlformats.org/officeDocument/2006/relationships/image" Target="../media/image13.png"/><Relationship Id="rId6" Type="http://schemas.openxmlformats.org/officeDocument/2006/relationships/image" Target="../media/image19.svg"/><Relationship Id="rId11" Type="http://schemas.openxmlformats.org/officeDocument/2006/relationships/image" Target="../media/image24.png"/><Relationship Id="rId24" Type="http://schemas.openxmlformats.org/officeDocument/2006/relationships/image" Target="../media/image37.png"/><Relationship Id="rId32" Type="http://schemas.openxmlformats.org/officeDocument/2006/relationships/image" Target="../media/image45.png"/><Relationship Id="rId37" Type="http://schemas.openxmlformats.org/officeDocument/2006/relationships/image" Target="../media/image50.svg"/><Relationship Id="rId40" Type="http://schemas.openxmlformats.org/officeDocument/2006/relationships/image" Target="../media/image53.png"/><Relationship Id="rId5" Type="http://schemas.openxmlformats.org/officeDocument/2006/relationships/image" Target="../media/image18.png"/><Relationship Id="rId15" Type="http://schemas.openxmlformats.org/officeDocument/2006/relationships/image" Target="../media/image28.png"/><Relationship Id="rId23" Type="http://schemas.openxmlformats.org/officeDocument/2006/relationships/image" Target="../media/image36.svg"/><Relationship Id="rId28" Type="http://schemas.openxmlformats.org/officeDocument/2006/relationships/image" Target="../media/image41.png"/><Relationship Id="rId36" Type="http://schemas.openxmlformats.org/officeDocument/2006/relationships/image" Target="../media/image49.png"/><Relationship Id="rId10" Type="http://schemas.openxmlformats.org/officeDocument/2006/relationships/image" Target="../media/image23.svg"/><Relationship Id="rId19" Type="http://schemas.openxmlformats.org/officeDocument/2006/relationships/image" Target="../media/image32.png"/><Relationship Id="rId31" Type="http://schemas.openxmlformats.org/officeDocument/2006/relationships/image" Target="../media/image44.svg"/><Relationship Id="rId4" Type="http://schemas.openxmlformats.org/officeDocument/2006/relationships/image" Target="../media/image17.svg"/><Relationship Id="rId9" Type="http://schemas.openxmlformats.org/officeDocument/2006/relationships/image" Target="../media/image22.png"/><Relationship Id="rId14" Type="http://schemas.openxmlformats.org/officeDocument/2006/relationships/image" Target="../media/image27.svg"/><Relationship Id="rId22" Type="http://schemas.openxmlformats.org/officeDocument/2006/relationships/image" Target="../media/image35.svg"/><Relationship Id="rId27" Type="http://schemas.openxmlformats.org/officeDocument/2006/relationships/image" Target="../media/image40.svg"/><Relationship Id="rId30" Type="http://schemas.openxmlformats.org/officeDocument/2006/relationships/image" Target="../media/image43.png"/><Relationship Id="rId35" Type="http://schemas.openxmlformats.org/officeDocument/2006/relationships/image" Target="../media/image48.sv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59.png"/><Relationship Id="rId2" Type="http://schemas.openxmlformats.org/officeDocument/2006/relationships/image" Target="../media/image58.jpeg"/><Relationship Id="rId1" Type="http://schemas.openxmlformats.org/officeDocument/2006/relationships/image" Target="../media/image57.jpeg"/><Relationship Id="rId4" Type="http://schemas.openxmlformats.org/officeDocument/2006/relationships/image" Target="../media/image60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59.png"/><Relationship Id="rId2" Type="http://schemas.openxmlformats.org/officeDocument/2006/relationships/image" Target="../media/image58.jpeg"/><Relationship Id="rId1" Type="http://schemas.openxmlformats.org/officeDocument/2006/relationships/image" Target="../media/image57.jpeg"/><Relationship Id="rId4" Type="http://schemas.openxmlformats.org/officeDocument/2006/relationships/image" Target="../media/image60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55.emf"/><Relationship Id="rId1" Type="http://schemas.openxmlformats.org/officeDocument/2006/relationships/image" Target="../media/image56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2.emf"/><Relationship Id="rId1" Type="http://schemas.openxmlformats.org/officeDocument/2006/relationships/image" Target="../media/image6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47625</xdr:colOff>
      <xdr:row>0</xdr:row>
      <xdr:rowOff>47626</xdr:rowOff>
    </xdr:from>
    <xdr:to>
      <xdr:col>1</xdr:col>
      <xdr:colOff>47625</xdr:colOff>
      <xdr:row>1</xdr:row>
      <xdr:rowOff>180976</xdr:rowOff>
    </xdr:to>
    <xdr:pic macro="[0]!check_password">
      <xdr:nvPicPr>
        <xdr:cNvPr id="3" name="Picture 2">
          <a:extLst>
            <a:ext uri="{FF2B5EF4-FFF2-40B4-BE49-F238E27FC236}">
              <a16:creationId xmlns:a16="http://schemas.microsoft.com/office/drawing/2014/main" id="{8FB0DA20-C823-4B10-8D86-6C3DCC8DF9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47626"/>
          <a:ext cx="657225" cy="4572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13</xdr:row>
          <xdr:rowOff>28575</xdr:rowOff>
        </xdr:from>
        <xdr:to>
          <xdr:col>5</xdr:col>
          <xdr:colOff>47625</xdr:colOff>
          <xdr:row>13</xdr:row>
          <xdr:rowOff>219075</xdr:rowOff>
        </xdr:to>
        <xdr:sp macro="" textlink="">
          <xdr:nvSpPr>
            <xdr:cNvPr id="1033" name="Drop Dow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</xdr:row>
          <xdr:rowOff>19050</xdr:rowOff>
        </xdr:from>
        <xdr:to>
          <xdr:col>5</xdr:col>
          <xdr:colOff>0</xdr:colOff>
          <xdr:row>2</xdr:row>
          <xdr:rowOff>219075</xdr:rowOff>
        </xdr:to>
        <xdr:sp macro="" textlink="">
          <xdr:nvSpPr>
            <xdr:cNvPr id="1036" name="Drop Dow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104430</xdr:colOff>
      <xdr:row>12</xdr:row>
      <xdr:rowOff>8029</xdr:rowOff>
    </xdr:from>
    <xdr:to>
      <xdr:col>5</xdr:col>
      <xdr:colOff>219075</xdr:colOff>
      <xdr:row>12</xdr:row>
      <xdr:rowOff>400052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B4C6A1EC-15D9-AB14-E682-CCBABAC419BA}"/>
            </a:ext>
          </a:extLst>
        </xdr:cNvPr>
        <xdr:cNvGrpSpPr/>
      </xdr:nvGrpSpPr>
      <xdr:grpSpPr>
        <a:xfrm>
          <a:off x="4609755" y="2655979"/>
          <a:ext cx="1552920" cy="392023"/>
          <a:chOff x="7648575" y="2913406"/>
          <a:chExt cx="1829055" cy="658549"/>
        </a:xfrm>
        <a:effectLst>
          <a:glow rad="139700">
            <a:schemeClr val="accent5">
              <a:satMod val="175000"/>
              <a:alpha val="40000"/>
            </a:schemeClr>
          </a:glow>
        </a:effectLst>
      </xdr:grpSpPr>
      <xdr:pic macro="[0]!new_invoice">
        <xdr:nvPicPr>
          <xdr:cNvPr id="4" name="Picture 3" descr="Add">
            <a:extLst>
              <a:ext uri="{FF2B5EF4-FFF2-40B4-BE49-F238E27FC236}">
                <a16:creationId xmlns:a16="http://schemas.microsoft.com/office/drawing/2014/main" id="{434A5D11-8E77-1F42-FC6C-62C875C8484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648575" y="3000375"/>
            <a:ext cx="1829055" cy="571580"/>
          </a:xfrm>
          <a:prstGeom prst="roundRect">
            <a:avLst>
              <a:gd name="adj" fmla="val 8594"/>
            </a:avLst>
          </a:prstGeom>
          <a:solidFill>
            <a:srgbClr val="FFFFFF">
              <a:shade val="85000"/>
            </a:srgbClr>
          </a:solidFill>
          <a:ln>
            <a:noFill/>
          </a:ln>
          <a:effectLst>
            <a:reflection blurRad="12700" stA="38000" endPos="28000" dist="5000" dir="5400000" sy="-100000" algn="bl" rotWithShape="0"/>
          </a:effectLst>
          <a:scene3d>
            <a:camera prst="orthographicFront"/>
            <a:lightRig rig="threePt" dir="t"/>
          </a:scene3d>
          <a:sp3d>
            <a:bevelT prst="relaxedInset"/>
          </a:sp3d>
        </xdr:spPr>
      </xdr:pic>
      <xdr:sp macro="[0]!new_invoice" textlink="">
        <xdr:nvSpPr>
          <xdr:cNvPr id="5" name="TextBox 4">
            <a:extLst>
              <a:ext uri="{FF2B5EF4-FFF2-40B4-BE49-F238E27FC236}">
                <a16:creationId xmlns:a16="http://schemas.microsoft.com/office/drawing/2014/main" id="{F33FCBE5-7CC4-5BB6-B619-F35C8748F832}"/>
              </a:ext>
            </a:extLst>
          </xdr:cNvPr>
          <xdr:cNvSpPr txBox="1"/>
        </xdr:nvSpPr>
        <xdr:spPr>
          <a:xfrm>
            <a:off x="7728225" y="2913406"/>
            <a:ext cx="1638360" cy="533248"/>
          </a:xfrm>
          <a:prstGeom prst="rect">
            <a:avLst/>
          </a:prstGeom>
          <a:noFill/>
          <a:scene3d>
            <a:camera prst="orthographicFront"/>
            <a:lightRig rig="threePt" dir="t"/>
          </a:scene3d>
          <a:sp3d>
            <a:bevelT prst="relaxedInset"/>
          </a:sp3d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600" b="1">
                <a:solidFill>
                  <a:schemeClr val="accent5">
                    <a:lumMod val="50000"/>
                  </a:schemeClr>
                </a:solidFill>
              </a:rPr>
              <a:t>New</a:t>
            </a:r>
            <a:r>
              <a:rPr lang="en-US" sz="2000" b="1">
                <a:solidFill>
                  <a:schemeClr val="accent5">
                    <a:lumMod val="50000"/>
                  </a:schemeClr>
                </a:solidFill>
              </a:rPr>
              <a:t> </a:t>
            </a:r>
            <a:r>
              <a:rPr lang="en-US" sz="1600" b="1">
                <a:solidFill>
                  <a:schemeClr val="accent5">
                    <a:lumMod val="50000"/>
                  </a:schemeClr>
                </a:solidFill>
              </a:rPr>
              <a:t>Invoice</a:t>
            </a:r>
            <a:endParaRPr lang="en-US" sz="2000" b="1">
              <a:solidFill>
                <a:schemeClr val="accent5">
                  <a:lumMod val="50000"/>
                </a:schemeClr>
              </a:solidFill>
            </a:endParaRPr>
          </a:p>
        </xdr:txBody>
      </xdr:sp>
    </xdr:grpSp>
    <xdr:clientData/>
  </xdr:twoCellAnchor>
  <xdr:twoCellAnchor>
    <xdr:from>
      <xdr:col>3</xdr:col>
      <xdr:colOff>114299</xdr:colOff>
      <xdr:row>4</xdr:row>
      <xdr:rowOff>228513</xdr:rowOff>
    </xdr:from>
    <xdr:to>
      <xdr:col>3</xdr:col>
      <xdr:colOff>790574</xdr:colOff>
      <xdr:row>9</xdr:row>
      <xdr:rowOff>133350</xdr:rowOff>
    </xdr:to>
    <xdr:grpSp>
      <xdr:nvGrpSpPr>
        <xdr:cNvPr id="12" name="Group 11">
          <a:extLst>
            <a:ext uri="{FF2B5EF4-FFF2-40B4-BE49-F238E27FC236}">
              <a16:creationId xmlns:a16="http://schemas.microsoft.com/office/drawing/2014/main" id="{B629344E-EAA3-7BAA-7FBA-30946F664CAC}"/>
            </a:ext>
          </a:extLst>
        </xdr:cNvPr>
        <xdr:cNvGrpSpPr/>
      </xdr:nvGrpSpPr>
      <xdr:grpSpPr>
        <a:xfrm>
          <a:off x="4619624" y="1238163"/>
          <a:ext cx="676275" cy="962112"/>
          <a:chOff x="7772400" y="1638213"/>
          <a:chExt cx="674480" cy="943066"/>
        </a:xfrm>
        <a:effectLst>
          <a:glow rad="101600">
            <a:schemeClr val="accent2">
              <a:satMod val="175000"/>
              <a:alpha val="40000"/>
            </a:schemeClr>
          </a:glow>
        </a:effectLst>
      </xdr:grpSpPr>
      <xdr:pic macro="[0]!add_company">
        <xdr:nvPicPr>
          <xdr:cNvPr id="10" name="Picture 9">
            <a:extLst>
              <a:ext uri="{FF2B5EF4-FFF2-40B4-BE49-F238E27FC236}">
                <a16:creationId xmlns:a16="http://schemas.microsoft.com/office/drawing/2014/main" id="{93ACC3B3-339B-32AA-334E-049A2136F3B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 rot="5400000">
            <a:off x="7634374" y="1823956"/>
            <a:ext cx="943066" cy="571580"/>
          </a:xfrm>
          <a:prstGeom prst="roundRect">
            <a:avLst>
              <a:gd name="adj" fmla="val 8594"/>
            </a:avLst>
          </a:prstGeom>
          <a:solidFill>
            <a:srgbClr val="FFFFFF">
              <a:shade val="85000"/>
            </a:srgbClr>
          </a:solidFill>
          <a:ln>
            <a:noFill/>
          </a:ln>
          <a:effectLst>
            <a:reflection blurRad="12700" stA="38000" endPos="28000" dist="5000" dir="5400000" sy="-100000" algn="bl" rotWithShape="0"/>
          </a:effectLst>
        </xdr:spPr>
      </xdr:pic>
      <xdr:sp macro="[0]!add_company" textlink="">
        <xdr:nvSpPr>
          <xdr:cNvPr id="11" name="TextBox 10">
            <a:extLst>
              <a:ext uri="{FF2B5EF4-FFF2-40B4-BE49-F238E27FC236}">
                <a16:creationId xmlns:a16="http://schemas.microsoft.com/office/drawing/2014/main" id="{864559C7-7A2D-580D-D08A-1C02D1471943}"/>
              </a:ext>
            </a:extLst>
          </xdr:cNvPr>
          <xdr:cNvSpPr txBox="1"/>
        </xdr:nvSpPr>
        <xdr:spPr>
          <a:xfrm>
            <a:off x="7772400" y="1943100"/>
            <a:ext cx="674480" cy="37414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800" b="1" cap="none" spc="0">
                <a:ln w="12700" cmpd="sng">
                  <a:solidFill>
                    <a:schemeClr val="accent4"/>
                  </a:solidFill>
                  <a:prstDash val="solid"/>
                </a:ln>
                <a:gradFill>
                  <a:gsLst>
                    <a:gs pos="0">
                      <a:schemeClr val="accent4"/>
                    </a:gs>
                    <a:gs pos="4000">
                      <a:schemeClr val="accent4">
                        <a:lumMod val="60000"/>
                        <a:lumOff val="40000"/>
                      </a:schemeClr>
                    </a:gs>
                    <a:gs pos="87000">
                      <a:schemeClr val="accent4">
                        <a:lumMod val="20000"/>
                        <a:lumOff val="80000"/>
                      </a:schemeClr>
                    </a:gs>
                  </a:gsLst>
                  <a:lin ang="5400000"/>
                </a:gradFill>
                <a:effectLst/>
              </a:rPr>
              <a:t>Add</a:t>
            </a:r>
            <a:r>
              <a:rPr lang="en-US" sz="1600" b="1" cap="none" spc="0">
                <a:ln w="12700" cmpd="sng">
                  <a:solidFill>
                    <a:schemeClr val="accent4"/>
                  </a:solidFill>
                  <a:prstDash val="solid"/>
                </a:ln>
                <a:gradFill>
                  <a:gsLst>
                    <a:gs pos="0">
                      <a:schemeClr val="accent4"/>
                    </a:gs>
                    <a:gs pos="4000">
                      <a:schemeClr val="accent4">
                        <a:lumMod val="60000"/>
                        <a:lumOff val="40000"/>
                      </a:schemeClr>
                    </a:gs>
                    <a:gs pos="87000">
                      <a:schemeClr val="accent4">
                        <a:lumMod val="20000"/>
                        <a:lumOff val="80000"/>
                      </a:schemeClr>
                    </a:gs>
                  </a:gsLst>
                  <a:lin ang="5400000"/>
                </a:gradFill>
                <a:effectLst/>
              </a:rPr>
              <a:t>+</a:t>
            </a:r>
          </a:p>
        </xdr:txBody>
      </xdr:sp>
    </xdr:grpSp>
    <xdr:clientData/>
  </xdr:twoCellAnchor>
  <xdr:twoCellAnchor>
    <xdr:from>
      <xdr:col>4</xdr:col>
      <xdr:colOff>57150</xdr:colOff>
      <xdr:row>14</xdr:row>
      <xdr:rowOff>71602</xdr:rowOff>
    </xdr:from>
    <xdr:to>
      <xdr:col>5</xdr:col>
      <xdr:colOff>180975</xdr:colOff>
      <xdr:row>15</xdr:row>
      <xdr:rowOff>180975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8B9226A3-26E8-C862-620F-56D041C857ED}"/>
            </a:ext>
          </a:extLst>
        </xdr:cNvPr>
        <xdr:cNvGrpSpPr/>
      </xdr:nvGrpSpPr>
      <xdr:grpSpPr>
        <a:xfrm>
          <a:off x="5391150" y="3414877"/>
          <a:ext cx="733425" cy="309398"/>
          <a:chOff x="7219215" y="5172075"/>
          <a:chExt cx="706344" cy="257175"/>
        </a:xfrm>
      </xdr:grpSpPr>
      <xdr:pic macro="[0]!add_info1">
        <xdr:nvPicPr>
          <xdr:cNvPr id="14" name="Picture 13">
            <a:extLst>
              <a:ext uri="{FF2B5EF4-FFF2-40B4-BE49-F238E27FC236}">
                <a16:creationId xmlns:a16="http://schemas.microsoft.com/office/drawing/2014/main" id="{29044EDC-EF61-C703-C34F-5030922FED8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229477" y="5172075"/>
            <a:ext cx="676273" cy="257175"/>
          </a:xfrm>
          <a:prstGeom prst="roundRect">
            <a:avLst>
              <a:gd name="adj" fmla="val 4167"/>
            </a:avLst>
          </a:prstGeom>
          <a:solidFill>
            <a:srgbClr val="FFFFFF"/>
          </a:solidFill>
          <a:ln w="76200" cap="sq">
            <a:solidFill>
              <a:schemeClr val="accent6"/>
            </a:solidFill>
            <a:miter lim="800000"/>
          </a:ln>
          <a:effectLst>
            <a:reflection blurRad="12700" stA="28000" endPos="28000" dist="5000" dir="5400000" sy="-100000" algn="bl" rotWithShape="0"/>
          </a:effectLst>
          <a:scene3d>
            <a:camera prst="orthographicFront"/>
            <a:lightRig rig="threePt" dir="t">
              <a:rot lat="0" lon="0" rev="2700000"/>
            </a:lightRig>
          </a:scene3d>
          <a:sp3d>
            <a:bevelT h="38100"/>
            <a:contourClr>
              <a:srgbClr val="C0C0C0"/>
            </a:contourClr>
          </a:sp3d>
        </xdr:spPr>
      </xdr:pic>
      <xdr:sp macro="[0]!add_info1" textlink="">
        <xdr:nvSpPr>
          <xdr:cNvPr id="15" name="TextBox 14">
            <a:extLst>
              <a:ext uri="{FF2B5EF4-FFF2-40B4-BE49-F238E27FC236}">
                <a16:creationId xmlns:a16="http://schemas.microsoft.com/office/drawing/2014/main" id="{14AD5FB8-8348-EF1F-9C63-0C00D7D1C54C}"/>
              </a:ext>
            </a:extLst>
          </xdr:cNvPr>
          <xdr:cNvSpPr txBox="1"/>
        </xdr:nvSpPr>
        <xdr:spPr>
          <a:xfrm>
            <a:off x="7219215" y="5183321"/>
            <a:ext cx="706344" cy="212041"/>
          </a:xfrm>
          <a:prstGeom prst="rect">
            <a:avLst/>
          </a:prstGeom>
          <a:noFill/>
          <a:ln>
            <a:solidFill>
              <a:schemeClr val="accent6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US" sz="1200" b="1">
                <a:solidFill>
                  <a:schemeClr val="accent6">
                    <a:lumMod val="50000"/>
                  </a:schemeClr>
                </a:solidFill>
              </a:rPr>
              <a:t>Register</a:t>
            </a:r>
            <a:endParaRPr lang="en-US" sz="900" b="1">
              <a:solidFill>
                <a:schemeClr val="accent6">
                  <a:lumMod val="50000"/>
                </a:schemeClr>
              </a:solidFill>
            </a:endParaRPr>
          </a:p>
        </xdr:txBody>
      </xdr:sp>
    </xdr:grpSp>
    <xdr:clientData/>
  </xdr:twoCellAnchor>
  <xdr:twoCellAnchor>
    <xdr:from>
      <xdr:col>4</xdr:col>
      <xdr:colOff>57150</xdr:colOff>
      <xdr:row>19</xdr:row>
      <xdr:rowOff>47626</xdr:rowOff>
    </xdr:from>
    <xdr:to>
      <xdr:col>5</xdr:col>
      <xdr:colOff>180975</xdr:colOff>
      <xdr:row>20</xdr:row>
      <xdr:rowOff>133351</xdr:rowOff>
    </xdr:to>
    <xdr:grpSp>
      <xdr:nvGrpSpPr>
        <xdr:cNvPr id="18" name="Group 17">
          <a:extLst>
            <a:ext uri="{FF2B5EF4-FFF2-40B4-BE49-F238E27FC236}">
              <a16:creationId xmlns:a16="http://schemas.microsoft.com/office/drawing/2014/main" id="{A2628754-1ADA-44D1-9247-86D30C7B5621}"/>
            </a:ext>
          </a:extLst>
        </xdr:cNvPr>
        <xdr:cNvGrpSpPr/>
      </xdr:nvGrpSpPr>
      <xdr:grpSpPr>
        <a:xfrm>
          <a:off x="5391150" y="5648326"/>
          <a:ext cx="733425" cy="285750"/>
          <a:chOff x="7219215" y="5172075"/>
          <a:chExt cx="706344" cy="257175"/>
        </a:xfrm>
      </xdr:grpSpPr>
      <xdr:pic macro="[0]!add_info1">
        <xdr:nvPicPr>
          <xdr:cNvPr id="19" name="Picture 18">
            <a:extLst>
              <a:ext uri="{FF2B5EF4-FFF2-40B4-BE49-F238E27FC236}">
                <a16:creationId xmlns:a16="http://schemas.microsoft.com/office/drawing/2014/main" id="{449D7698-F9A0-A12E-93E7-D5B9F0BAC18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229477" y="5172075"/>
            <a:ext cx="676273" cy="257175"/>
          </a:xfrm>
          <a:prstGeom prst="roundRect">
            <a:avLst>
              <a:gd name="adj" fmla="val 4167"/>
            </a:avLst>
          </a:prstGeom>
          <a:solidFill>
            <a:srgbClr val="FFFFFF"/>
          </a:solidFill>
          <a:ln w="76200" cap="sq">
            <a:solidFill>
              <a:schemeClr val="accent6"/>
            </a:solidFill>
            <a:miter lim="800000"/>
          </a:ln>
          <a:effectLst>
            <a:reflection blurRad="12700" stA="28000" endPos="28000" dist="5000" dir="5400000" sy="-100000" algn="bl" rotWithShape="0"/>
          </a:effectLst>
          <a:scene3d>
            <a:camera prst="orthographicFront"/>
            <a:lightRig rig="threePt" dir="t">
              <a:rot lat="0" lon="0" rev="2700000"/>
            </a:lightRig>
          </a:scene3d>
          <a:sp3d>
            <a:bevelT h="38100"/>
            <a:contourClr>
              <a:srgbClr val="C0C0C0"/>
            </a:contourClr>
          </a:sp3d>
        </xdr:spPr>
      </xdr:pic>
      <xdr:sp macro="[0]!add_info2" textlink="">
        <xdr:nvSpPr>
          <xdr:cNvPr id="20" name="TextBox 19">
            <a:extLst>
              <a:ext uri="{FF2B5EF4-FFF2-40B4-BE49-F238E27FC236}">
                <a16:creationId xmlns:a16="http://schemas.microsoft.com/office/drawing/2014/main" id="{EEDAE8A7-E21C-44C1-F13E-3B2374B90EC8}"/>
              </a:ext>
            </a:extLst>
          </xdr:cNvPr>
          <xdr:cNvSpPr txBox="1"/>
        </xdr:nvSpPr>
        <xdr:spPr>
          <a:xfrm>
            <a:off x="7219215" y="5183317"/>
            <a:ext cx="706344" cy="212041"/>
          </a:xfrm>
          <a:prstGeom prst="rect">
            <a:avLst/>
          </a:prstGeom>
          <a:noFill/>
          <a:ln>
            <a:solidFill>
              <a:schemeClr val="accent6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US" sz="1200" b="1">
                <a:solidFill>
                  <a:schemeClr val="accent6">
                    <a:lumMod val="50000"/>
                  </a:schemeClr>
                </a:solidFill>
              </a:rPr>
              <a:t>Register</a:t>
            </a:r>
            <a:endParaRPr lang="en-US" sz="900" b="1">
              <a:solidFill>
                <a:schemeClr val="accent6">
                  <a:lumMod val="50000"/>
                </a:schemeClr>
              </a:solidFill>
            </a:endParaRPr>
          </a:p>
        </xdr:txBody>
      </xdr:sp>
    </xdr:grpSp>
    <xdr:clientData/>
  </xdr:twoCellAnchor>
  <xdr:twoCellAnchor>
    <xdr:from>
      <xdr:col>4</xdr:col>
      <xdr:colOff>57150</xdr:colOff>
      <xdr:row>24</xdr:row>
      <xdr:rowOff>95250</xdr:rowOff>
    </xdr:from>
    <xdr:to>
      <xdr:col>5</xdr:col>
      <xdr:colOff>180975</xdr:colOff>
      <xdr:row>25</xdr:row>
      <xdr:rowOff>171450</xdr:rowOff>
    </xdr:to>
    <xdr:grpSp>
      <xdr:nvGrpSpPr>
        <xdr:cNvPr id="21" name="Group 20">
          <a:extLst>
            <a:ext uri="{FF2B5EF4-FFF2-40B4-BE49-F238E27FC236}">
              <a16:creationId xmlns:a16="http://schemas.microsoft.com/office/drawing/2014/main" id="{7CAF6828-CEC7-4512-B51D-A181D2CF57D0}"/>
            </a:ext>
          </a:extLst>
        </xdr:cNvPr>
        <xdr:cNvGrpSpPr/>
      </xdr:nvGrpSpPr>
      <xdr:grpSpPr>
        <a:xfrm>
          <a:off x="5391150" y="8134350"/>
          <a:ext cx="733425" cy="276225"/>
          <a:chOff x="7219215" y="5172075"/>
          <a:chExt cx="706344" cy="257175"/>
        </a:xfrm>
      </xdr:grpSpPr>
      <xdr:pic macro="[0]!add_info1">
        <xdr:nvPicPr>
          <xdr:cNvPr id="22" name="Picture 21">
            <a:extLst>
              <a:ext uri="{FF2B5EF4-FFF2-40B4-BE49-F238E27FC236}">
                <a16:creationId xmlns:a16="http://schemas.microsoft.com/office/drawing/2014/main" id="{E5749B8E-123F-F31C-CB5C-E54129EE834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229477" y="5172075"/>
            <a:ext cx="676273" cy="257175"/>
          </a:xfrm>
          <a:prstGeom prst="roundRect">
            <a:avLst>
              <a:gd name="adj" fmla="val 4167"/>
            </a:avLst>
          </a:prstGeom>
          <a:solidFill>
            <a:srgbClr val="FFFFFF"/>
          </a:solidFill>
          <a:ln w="76200" cap="sq">
            <a:solidFill>
              <a:schemeClr val="accent6"/>
            </a:solidFill>
            <a:miter lim="800000"/>
          </a:ln>
          <a:effectLst>
            <a:reflection blurRad="12700" stA="28000" endPos="28000" dist="5000" dir="5400000" sy="-100000" algn="bl" rotWithShape="0"/>
          </a:effectLst>
          <a:scene3d>
            <a:camera prst="orthographicFront"/>
            <a:lightRig rig="threePt" dir="t">
              <a:rot lat="0" lon="0" rev="2700000"/>
            </a:lightRig>
          </a:scene3d>
          <a:sp3d>
            <a:bevelT h="38100"/>
            <a:contourClr>
              <a:srgbClr val="C0C0C0"/>
            </a:contourClr>
          </a:sp3d>
        </xdr:spPr>
      </xdr:pic>
      <xdr:sp macro="[0]!add_info3" textlink="">
        <xdr:nvSpPr>
          <xdr:cNvPr id="23" name="TextBox 22">
            <a:extLst>
              <a:ext uri="{FF2B5EF4-FFF2-40B4-BE49-F238E27FC236}">
                <a16:creationId xmlns:a16="http://schemas.microsoft.com/office/drawing/2014/main" id="{FA49FEBF-5BD7-2F65-9D1D-9FBDEE6455E6}"/>
              </a:ext>
            </a:extLst>
          </xdr:cNvPr>
          <xdr:cNvSpPr txBox="1"/>
        </xdr:nvSpPr>
        <xdr:spPr>
          <a:xfrm>
            <a:off x="7219215" y="5174449"/>
            <a:ext cx="706344" cy="212041"/>
          </a:xfrm>
          <a:prstGeom prst="rect">
            <a:avLst/>
          </a:prstGeom>
          <a:noFill/>
          <a:ln>
            <a:solidFill>
              <a:schemeClr val="accent6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US" sz="1200" b="1">
                <a:solidFill>
                  <a:schemeClr val="accent6">
                    <a:lumMod val="50000"/>
                  </a:schemeClr>
                </a:solidFill>
              </a:rPr>
              <a:t>Register</a:t>
            </a:r>
            <a:endParaRPr lang="en-US" sz="900" b="1">
              <a:solidFill>
                <a:schemeClr val="accent6">
                  <a:lumMod val="50000"/>
                </a:schemeClr>
              </a:solidFill>
            </a:endParaRPr>
          </a:p>
        </xdr:txBody>
      </xdr:sp>
    </xdr:grpSp>
    <xdr:clientData/>
  </xdr:twoCellAnchor>
  <xdr:twoCellAnchor>
    <xdr:from>
      <xdr:col>4</xdr:col>
      <xdr:colOff>72500</xdr:colOff>
      <xdr:row>26</xdr:row>
      <xdr:rowOff>255304</xdr:rowOff>
    </xdr:from>
    <xdr:to>
      <xdr:col>5</xdr:col>
      <xdr:colOff>171448</xdr:colOff>
      <xdr:row>26</xdr:row>
      <xdr:rowOff>523876</xdr:rowOff>
    </xdr:to>
    <xdr:grpSp>
      <xdr:nvGrpSpPr>
        <xdr:cNvPr id="29" name="Group 28">
          <a:extLst>
            <a:ext uri="{FF2B5EF4-FFF2-40B4-BE49-F238E27FC236}">
              <a16:creationId xmlns:a16="http://schemas.microsoft.com/office/drawing/2014/main" id="{0F024918-1860-4B72-F541-F9FA0A851617}"/>
            </a:ext>
          </a:extLst>
        </xdr:cNvPr>
        <xdr:cNvGrpSpPr/>
      </xdr:nvGrpSpPr>
      <xdr:grpSpPr>
        <a:xfrm>
          <a:off x="5406500" y="9246904"/>
          <a:ext cx="708548" cy="268572"/>
          <a:chOff x="7588593" y="6224654"/>
          <a:chExt cx="813873" cy="370417"/>
        </a:xfrm>
      </xdr:grpSpPr>
      <xdr:pic>
        <xdr:nvPicPr>
          <xdr:cNvPr id="25" name="Picture 24">
            <a:extLst>
              <a:ext uri="{FF2B5EF4-FFF2-40B4-BE49-F238E27FC236}">
                <a16:creationId xmlns:a16="http://schemas.microsoft.com/office/drawing/2014/main" id="{C6F563EB-0758-7F9A-C935-4610D2AF511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592841" y="6250748"/>
            <a:ext cx="809625" cy="344323"/>
          </a:xfrm>
          <a:prstGeom prst="roundRect">
            <a:avLst>
              <a:gd name="adj" fmla="val 4167"/>
            </a:avLst>
          </a:prstGeom>
          <a:solidFill>
            <a:srgbClr val="FFFFFF"/>
          </a:solidFill>
          <a:ln w="76200" cap="sq">
            <a:solidFill>
              <a:srgbClr val="00B0F0"/>
            </a:solidFill>
            <a:miter lim="800000"/>
          </a:ln>
          <a:effectLst>
            <a:reflection blurRad="12700" stA="28000" endPos="28000" dist="5000" dir="5400000" sy="-100000" algn="bl" rotWithShape="0"/>
          </a:effectLst>
          <a:scene3d>
            <a:camera prst="orthographicFront"/>
            <a:lightRig rig="threePt" dir="t">
              <a:rot lat="0" lon="0" rev="2700000"/>
            </a:lightRig>
          </a:scene3d>
          <a:sp3d>
            <a:bevelT h="38100"/>
            <a:contourClr>
              <a:srgbClr val="C0C0C0"/>
            </a:contourClr>
          </a:sp3d>
        </xdr:spPr>
      </xdr:pic>
      <xdr:sp macro="[0]!btn_package3" textlink="">
        <xdr:nvSpPr>
          <xdr:cNvPr id="28" name="TextBox 27">
            <a:extLst>
              <a:ext uri="{FF2B5EF4-FFF2-40B4-BE49-F238E27FC236}">
                <a16:creationId xmlns:a16="http://schemas.microsoft.com/office/drawing/2014/main" id="{4BE781D3-AB1E-0888-94A3-D0C83A440D0D}"/>
              </a:ext>
            </a:extLst>
          </xdr:cNvPr>
          <xdr:cNvSpPr txBox="1"/>
        </xdr:nvSpPr>
        <xdr:spPr>
          <a:xfrm>
            <a:off x="7588593" y="6224654"/>
            <a:ext cx="707180" cy="28020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200" b="1">
                <a:solidFill>
                  <a:srgbClr val="0070C0"/>
                </a:solidFill>
              </a:rPr>
              <a:t>Package</a:t>
            </a:r>
          </a:p>
        </xdr:txBody>
      </xdr:sp>
    </xdr:grpSp>
    <xdr:clientData/>
  </xdr:twoCellAnchor>
  <xdr:twoCellAnchor>
    <xdr:from>
      <xdr:col>4</xdr:col>
      <xdr:colOff>72500</xdr:colOff>
      <xdr:row>21</xdr:row>
      <xdr:rowOff>255304</xdr:rowOff>
    </xdr:from>
    <xdr:to>
      <xdr:col>5</xdr:col>
      <xdr:colOff>171448</xdr:colOff>
      <xdr:row>21</xdr:row>
      <xdr:rowOff>523876</xdr:rowOff>
    </xdr:to>
    <xdr:grpSp>
      <xdr:nvGrpSpPr>
        <xdr:cNvPr id="30" name="Group 29">
          <a:extLst>
            <a:ext uri="{FF2B5EF4-FFF2-40B4-BE49-F238E27FC236}">
              <a16:creationId xmlns:a16="http://schemas.microsoft.com/office/drawing/2014/main" id="{803F2DD8-9264-46E3-A5F9-B409A91A5ECB}"/>
            </a:ext>
          </a:extLst>
        </xdr:cNvPr>
        <xdr:cNvGrpSpPr/>
      </xdr:nvGrpSpPr>
      <xdr:grpSpPr>
        <a:xfrm>
          <a:off x="5406500" y="6951379"/>
          <a:ext cx="708548" cy="268572"/>
          <a:chOff x="7588593" y="6224654"/>
          <a:chExt cx="813873" cy="370417"/>
        </a:xfrm>
      </xdr:grpSpPr>
      <xdr:pic>
        <xdr:nvPicPr>
          <xdr:cNvPr id="31" name="Picture 30">
            <a:extLst>
              <a:ext uri="{FF2B5EF4-FFF2-40B4-BE49-F238E27FC236}">
                <a16:creationId xmlns:a16="http://schemas.microsoft.com/office/drawing/2014/main" id="{A36C97BD-E2CD-9CDE-8B16-A7DD12EAF7D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592841" y="6250748"/>
            <a:ext cx="809625" cy="344323"/>
          </a:xfrm>
          <a:prstGeom prst="roundRect">
            <a:avLst>
              <a:gd name="adj" fmla="val 4167"/>
            </a:avLst>
          </a:prstGeom>
          <a:solidFill>
            <a:srgbClr val="FFFFFF"/>
          </a:solidFill>
          <a:ln w="76200" cap="sq">
            <a:solidFill>
              <a:srgbClr val="00B0F0"/>
            </a:solidFill>
            <a:miter lim="800000"/>
          </a:ln>
          <a:effectLst>
            <a:reflection blurRad="12700" stA="28000" endPos="28000" dist="5000" dir="5400000" sy="-100000" algn="bl" rotWithShape="0"/>
          </a:effectLst>
          <a:scene3d>
            <a:camera prst="orthographicFront"/>
            <a:lightRig rig="threePt" dir="t">
              <a:rot lat="0" lon="0" rev="2700000"/>
            </a:lightRig>
          </a:scene3d>
          <a:sp3d>
            <a:bevelT h="38100"/>
            <a:contourClr>
              <a:srgbClr val="C0C0C0"/>
            </a:contourClr>
          </a:sp3d>
        </xdr:spPr>
      </xdr:pic>
      <xdr:sp macro="[0]!btn_package2" textlink="">
        <xdr:nvSpPr>
          <xdr:cNvPr id="1024" name="TextBox 1023">
            <a:extLst>
              <a:ext uri="{FF2B5EF4-FFF2-40B4-BE49-F238E27FC236}">
                <a16:creationId xmlns:a16="http://schemas.microsoft.com/office/drawing/2014/main" id="{C7CA1921-3265-3BE4-1A1D-DD40849B2652}"/>
              </a:ext>
            </a:extLst>
          </xdr:cNvPr>
          <xdr:cNvSpPr txBox="1"/>
        </xdr:nvSpPr>
        <xdr:spPr>
          <a:xfrm>
            <a:off x="7588593" y="6224654"/>
            <a:ext cx="707180" cy="28020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200" b="1">
                <a:solidFill>
                  <a:srgbClr val="0070C0"/>
                </a:solidFill>
              </a:rPr>
              <a:t>Package</a:t>
            </a:r>
          </a:p>
        </xdr:txBody>
      </xdr:sp>
    </xdr:grpSp>
    <xdr:clientData/>
  </xdr:twoCellAnchor>
  <xdr:twoCellAnchor>
    <xdr:from>
      <xdr:col>4</xdr:col>
      <xdr:colOff>76200</xdr:colOff>
      <xdr:row>16</xdr:row>
      <xdr:rowOff>276225</xdr:rowOff>
    </xdr:from>
    <xdr:to>
      <xdr:col>5</xdr:col>
      <xdr:colOff>175148</xdr:colOff>
      <xdr:row>16</xdr:row>
      <xdr:rowOff>561975</xdr:rowOff>
    </xdr:to>
    <xdr:grpSp>
      <xdr:nvGrpSpPr>
        <xdr:cNvPr id="1026" name="Group 1025">
          <a:extLst>
            <a:ext uri="{FF2B5EF4-FFF2-40B4-BE49-F238E27FC236}">
              <a16:creationId xmlns:a16="http://schemas.microsoft.com/office/drawing/2014/main" id="{C9DA8AF5-DB0E-4897-AE1E-1C54D727BBD0}"/>
            </a:ext>
          </a:extLst>
        </xdr:cNvPr>
        <xdr:cNvGrpSpPr/>
      </xdr:nvGrpSpPr>
      <xdr:grpSpPr>
        <a:xfrm>
          <a:off x="5410200" y="4591050"/>
          <a:ext cx="708548" cy="285750"/>
          <a:chOff x="7588593" y="6224654"/>
          <a:chExt cx="813873" cy="370417"/>
        </a:xfrm>
      </xdr:grpSpPr>
      <xdr:pic macro="[0]!btn_package1">
        <xdr:nvPicPr>
          <xdr:cNvPr id="1027" name="Picture 1026">
            <a:extLst>
              <a:ext uri="{FF2B5EF4-FFF2-40B4-BE49-F238E27FC236}">
                <a16:creationId xmlns:a16="http://schemas.microsoft.com/office/drawing/2014/main" id="{24D5A83F-F9F9-F77B-B8B3-77011B2C209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592841" y="6250748"/>
            <a:ext cx="809625" cy="344323"/>
          </a:xfrm>
          <a:prstGeom prst="roundRect">
            <a:avLst>
              <a:gd name="adj" fmla="val 4167"/>
            </a:avLst>
          </a:prstGeom>
          <a:solidFill>
            <a:srgbClr val="FFFFFF"/>
          </a:solidFill>
          <a:ln w="76200" cap="sq">
            <a:solidFill>
              <a:srgbClr val="00B0F0"/>
            </a:solidFill>
            <a:miter lim="800000"/>
          </a:ln>
          <a:effectLst>
            <a:reflection blurRad="12700" stA="28000" endPos="28000" dist="5000" dir="5400000" sy="-100000" algn="bl" rotWithShape="0"/>
          </a:effectLst>
          <a:scene3d>
            <a:camera prst="orthographicFront"/>
            <a:lightRig rig="threePt" dir="t">
              <a:rot lat="0" lon="0" rev="2700000"/>
            </a:lightRig>
          </a:scene3d>
          <a:sp3d>
            <a:bevelT h="38100"/>
            <a:contourClr>
              <a:srgbClr val="C0C0C0"/>
            </a:contourClr>
          </a:sp3d>
        </xdr:spPr>
      </xdr:pic>
      <xdr:sp macro="[0]!btn_package3" textlink="">
        <xdr:nvSpPr>
          <xdr:cNvPr id="1028" name="TextBox 1027">
            <a:extLst>
              <a:ext uri="{FF2B5EF4-FFF2-40B4-BE49-F238E27FC236}">
                <a16:creationId xmlns:a16="http://schemas.microsoft.com/office/drawing/2014/main" id="{E38FBD47-ED01-AAEE-D05E-32AE087ACC04}"/>
              </a:ext>
            </a:extLst>
          </xdr:cNvPr>
          <xdr:cNvSpPr txBox="1"/>
        </xdr:nvSpPr>
        <xdr:spPr>
          <a:xfrm>
            <a:off x="7588593" y="6224654"/>
            <a:ext cx="707180" cy="28020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200" b="1">
                <a:solidFill>
                  <a:srgbClr val="0070C0"/>
                </a:solidFill>
              </a:rPr>
              <a:t>Package</a:t>
            </a:r>
          </a:p>
        </xdr:txBody>
      </xdr:sp>
    </xdr:grpSp>
    <xdr:clientData/>
  </xdr:twoCellAnchor>
  <xdr:twoCellAnchor>
    <xdr:from>
      <xdr:col>4</xdr:col>
      <xdr:colOff>47623</xdr:colOff>
      <xdr:row>15</xdr:row>
      <xdr:rowOff>266701</xdr:rowOff>
    </xdr:from>
    <xdr:to>
      <xdr:col>5</xdr:col>
      <xdr:colOff>180972</xdr:colOff>
      <xdr:row>15</xdr:row>
      <xdr:rowOff>581025</xdr:rowOff>
    </xdr:to>
    <xdr:grpSp>
      <xdr:nvGrpSpPr>
        <xdr:cNvPr id="1037" name="Group 1036">
          <a:extLst>
            <a:ext uri="{FF2B5EF4-FFF2-40B4-BE49-F238E27FC236}">
              <a16:creationId xmlns:a16="http://schemas.microsoft.com/office/drawing/2014/main" id="{60BE1488-3CA0-DC99-DD6F-46E966015155}"/>
            </a:ext>
          </a:extLst>
        </xdr:cNvPr>
        <xdr:cNvGrpSpPr/>
      </xdr:nvGrpSpPr>
      <xdr:grpSpPr>
        <a:xfrm>
          <a:off x="5381623" y="3810001"/>
          <a:ext cx="742949" cy="314324"/>
          <a:chOff x="6429372" y="4876801"/>
          <a:chExt cx="781049" cy="323850"/>
        </a:xfrm>
      </xdr:grpSpPr>
      <xdr:pic>
        <xdr:nvPicPr>
          <xdr:cNvPr id="1032" name="Picture 1031">
            <a:extLst>
              <a:ext uri="{FF2B5EF4-FFF2-40B4-BE49-F238E27FC236}">
                <a16:creationId xmlns:a16="http://schemas.microsoft.com/office/drawing/2014/main" id="{3AF0F8AB-4903-E589-2C4A-5EAC9DB3D5E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429372" y="4876801"/>
            <a:ext cx="781049" cy="323850"/>
          </a:xfrm>
          <a:prstGeom prst="roundRect">
            <a:avLst>
              <a:gd name="adj" fmla="val 4167"/>
            </a:avLst>
          </a:prstGeom>
          <a:solidFill>
            <a:srgbClr val="FFFFFF"/>
          </a:solidFill>
          <a:ln w="76200" cap="sq">
            <a:noFill/>
            <a:miter lim="800000"/>
          </a:ln>
          <a:effectLst>
            <a:reflection blurRad="12700" stA="28000" endPos="28000" dist="5000" dir="5400000" sy="-100000" algn="bl" rotWithShape="0"/>
          </a:effectLst>
          <a:scene3d>
            <a:camera prst="orthographicFront"/>
            <a:lightRig rig="threePt" dir="t">
              <a:rot lat="0" lon="0" rev="2700000"/>
            </a:lightRig>
          </a:scene3d>
          <a:sp3d>
            <a:bevelT h="38100"/>
            <a:contourClr>
              <a:srgbClr val="C0C0C0"/>
            </a:contourClr>
          </a:sp3d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3" name="TextBox1" hidden="1">
                <a:extLst>
                  <a:ext uri="{63B3BB69-23CF-44E3-9099-C40C66FF867C}">
                    <a14:compatExt spid="_x0000_s1043"/>
                  </a:ext>
                  <a:ext uri="{FF2B5EF4-FFF2-40B4-BE49-F238E27FC236}">
                    <a16:creationId xmlns:a16="http://schemas.microsoft.com/office/drawing/2014/main" id="{00000000-0008-0000-0000-000013040000}"/>
                  </a:ext>
                </a:extLst>
              </xdr:cNvPr>
              <xdr:cNvSpPr/>
            </xdr:nvSpPr>
            <xdr:spPr bwMode="auto">
              <a:xfrm>
                <a:off x="6457950" y="4905376"/>
                <a:ext cx="704850" cy="236393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4</xdr:col>
      <xdr:colOff>47625</xdr:colOff>
      <xdr:row>20</xdr:row>
      <xdr:rowOff>276225</xdr:rowOff>
    </xdr:from>
    <xdr:to>
      <xdr:col>5</xdr:col>
      <xdr:colOff>180974</xdr:colOff>
      <xdr:row>20</xdr:row>
      <xdr:rowOff>590549</xdr:rowOff>
    </xdr:to>
    <xdr:pic>
      <xdr:nvPicPr>
        <xdr:cNvPr id="1046" name="Picture 1045">
          <a:extLst>
            <a:ext uri="{FF2B5EF4-FFF2-40B4-BE49-F238E27FC236}">
              <a16:creationId xmlns:a16="http://schemas.microsoft.com/office/drawing/2014/main" id="{AE340091-F169-41A7-AE44-9C2D3CA3BB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81625" y="5362575"/>
          <a:ext cx="742949" cy="314324"/>
        </a:xfrm>
        <a:prstGeom prst="roundRect">
          <a:avLst>
            <a:gd name="adj" fmla="val 4167"/>
          </a:avLst>
        </a:prstGeom>
        <a:solidFill>
          <a:srgbClr val="FFFFFF"/>
        </a:solidFill>
        <a:ln w="76200" cap="sq">
          <a:noFill/>
          <a:miter lim="800000"/>
        </a:ln>
        <a:effectLst>
          <a:reflection blurRad="12700" stA="28000" endPos="28000" dist="5000" dir="5400000" sy="-100000" algn="bl" rotWithShape="0"/>
        </a:effectLst>
        <a:scene3d>
          <a:camera prst="orthographicFront"/>
          <a:lightRig rig="threePt" dir="t">
            <a:rot lat="0" lon="0" rev="2700000"/>
          </a:lightRig>
        </a:scene3d>
        <a:sp3d>
          <a:bevelT h="38100"/>
          <a:contourClr>
            <a:srgbClr val="C0C0C0"/>
          </a:contourClr>
        </a:sp3d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66675</xdr:colOff>
          <xdr:row>20</xdr:row>
          <xdr:rowOff>285750</xdr:rowOff>
        </xdr:from>
        <xdr:to>
          <xdr:col>5</xdr:col>
          <xdr:colOff>152400</xdr:colOff>
          <xdr:row>20</xdr:row>
          <xdr:rowOff>542925</xdr:rowOff>
        </xdr:to>
        <xdr:sp macro="" textlink="">
          <xdr:nvSpPr>
            <xdr:cNvPr id="1050" name="TextBox2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4</xdr:col>
      <xdr:colOff>47625</xdr:colOff>
      <xdr:row>25</xdr:row>
      <xdr:rowOff>266700</xdr:rowOff>
    </xdr:from>
    <xdr:to>
      <xdr:col>5</xdr:col>
      <xdr:colOff>180974</xdr:colOff>
      <xdr:row>25</xdr:row>
      <xdr:rowOff>581024</xdr:rowOff>
    </xdr:to>
    <xdr:pic>
      <xdr:nvPicPr>
        <xdr:cNvPr id="1049" name="Picture 1048">
          <a:extLst>
            <a:ext uri="{FF2B5EF4-FFF2-40B4-BE49-F238E27FC236}">
              <a16:creationId xmlns:a16="http://schemas.microsoft.com/office/drawing/2014/main" id="{E8DA6ABD-3D69-4A41-A7EF-6665C87A5C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81625" y="7019925"/>
          <a:ext cx="742949" cy="314324"/>
        </a:xfrm>
        <a:prstGeom prst="roundRect">
          <a:avLst>
            <a:gd name="adj" fmla="val 4167"/>
          </a:avLst>
        </a:prstGeom>
        <a:solidFill>
          <a:srgbClr val="FFFFFF"/>
        </a:solidFill>
        <a:ln w="76200" cap="sq">
          <a:noFill/>
          <a:miter lim="800000"/>
        </a:ln>
        <a:effectLst>
          <a:reflection blurRad="12700" stA="28000" endPos="28000" dist="5000" dir="5400000" sy="-100000" algn="bl" rotWithShape="0"/>
        </a:effectLst>
        <a:scene3d>
          <a:camera prst="orthographicFront"/>
          <a:lightRig rig="threePt" dir="t">
            <a:rot lat="0" lon="0" rev="2700000"/>
          </a:lightRig>
        </a:scene3d>
        <a:sp3d>
          <a:bevelT h="38100" prst="cross"/>
          <a:contourClr>
            <a:srgbClr val="C0C0C0"/>
          </a:contourClr>
        </a:sp3d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66675</xdr:colOff>
          <xdr:row>25</xdr:row>
          <xdr:rowOff>285750</xdr:rowOff>
        </xdr:from>
        <xdr:to>
          <xdr:col>5</xdr:col>
          <xdr:colOff>161925</xdr:colOff>
          <xdr:row>25</xdr:row>
          <xdr:rowOff>542925</xdr:rowOff>
        </xdr:to>
        <xdr:sp macro="" textlink="">
          <xdr:nvSpPr>
            <xdr:cNvPr id="1051" name="TextBox3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4</xdr:col>
      <xdr:colOff>104776</xdr:colOff>
      <xdr:row>15</xdr:row>
      <xdr:rowOff>628650</xdr:rowOff>
    </xdr:from>
    <xdr:to>
      <xdr:col>4</xdr:col>
      <xdr:colOff>378320</xdr:colOff>
      <xdr:row>16</xdr:row>
      <xdr:rowOff>95250</xdr:rowOff>
    </xdr:to>
    <xdr:pic macro="[0]!Plus1_Click">
      <xdr:nvPicPr>
        <xdr:cNvPr id="1053" name="Picture 1052">
          <a:extLst>
            <a:ext uri="{FF2B5EF4-FFF2-40B4-BE49-F238E27FC236}">
              <a16:creationId xmlns:a16="http://schemas.microsoft.com/office/drawing/2014/main" id="{3217BF45-EACE-BE97-93CC-F7B92849DF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438776" y="4076700"/>
          <a:ext cx="273544" cy="23812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  <a:scene3d>
          <a:camera prst="orthographicFront"/>
          <a:lightRig rig="threePt" dir="t"/>
        </a:scene3d>
        <a:sp3d>
          <a:bevelT w="152400" h="50800" prst="softRound"/>
        </a:sp3d>
      </xdr:spPr>
    </xdr:pic>
    <xdr:clientData/>
  </xdr:twoCellAnchor>
  <xdr:twoCellAnchor editAs="oneCell">
    <xdr:from>
      <xdr:col>4</xdr:col>
      <xdr:colOff>466728</xdr:colOff>
      <xdr:row>15</xdr:row>
      <xdr:rowOff>628651</xdr:rowOff>
    </xdr:from>
    <xdr:to>
      <xdr:col>5</xdr:col>
      <xdr:colOff>142876</xdr:colOff>
      <xdr:row>16</xdr:row>
      <xdr:rowOff>95250</xdr:rowOff>
    </xdr:to>
    <xdr:pic macro="[0]!Minus1_Click">
      <xdr:nvPicPr>
        <xdr:cNvPr id="1055" name="Picture 1054">
          <a:extLst>
            <a:ext uri="{FF2B5EF4-FFF2-40B4-BE49-F238E27FC236}">
              <a16:creationId xmlns:a16="http://schemas.microsoft.com/office/drawing/2014/main" id="{A84CC409-9753-01F1-2F4E-10E35F7813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00728" y="4076701"/>
          <a:ext cx="285748" cy="238124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  <a:scene3d>
          <a:camera prst="orthographicFront"/>
          <a:lightRig rig="threePt" dir="t"/>
        </a:scene3d>
        <a:sp3d>
          <a:bevelT w="152400" h="50800" prst="softRound"/>
        </a:sp3d>
      </xdr:spPr>
    </xdr:pic>
    <xdr:clientData/>
  </xdr:twoCellAnchor>
  <xdr:twoCellAnchor editAs="oneCell">
    <xdr:from>
      <xdr:col>4</xdr:col>
      <xdr:colOff>104775</xdr:colOff>
      <xdr:row>20</xdr:row>
      <xdr:rowOff>657225</xdr:rowOff>
    </xdr:from>
    <xdr:to>
      <xdr:col>4</xdr:col>
      <xdr:colOff>378319</xdr:colOff>
      <xdr:row>21</xdr:row>
      <xdr:rowOff>0</xdr:rowOff>
    </xdr:to>
    <xdr:pic macro="[0]!Plus2_Click">
      <xdr:nvPicPr>
        <xdr:cNvPr id="2368" name="Picture 2367">
          <a:extLst>
            <a:ext uri="{FF2B5EF4-FFF2-40B4-BE49-F238E27FC236}">
              <a16:creationId xmlns:a16="http://schemas.microsoft.com/office/drawing/2014/main" id="{348DB0B2-AFF1-4A4D-B937-49593B414C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438775" y="5743575"/>
          <a:ext cx="273544" cy="23812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  <a:scene3d>
          <a:camera prst="orthographicFront"/>
          <a:lightRig rig="threePt" dir="t"/>
        </a:scene3d>
        <a:sp3d>
          <a:bevelT w="152400" h="50800" prst="softRound"/>
        </a:sp3d>
      </xdr:spPr>
    </xdr:pic>
    <xdr:clientData/>
  </xdr:twoCellAnchor>
  <xdr:twoCellAnchor editAs="oneCell">
    <xdr:from>
      <xdr:col>4</xdr:col>
      <xdr:colOff>466727</xdr:colOff>
      <xdr:row>20</xdr:row>
      <xdr:rowOff>657226</xdr:rowOff>
    </xdr:from>
    <xdr:to>
      <xdr:col>5</xdr:col>
      <xdr:colOff>142875</xdr:colOff>
      <xdr:row>21</xdr:row>
      <xdr:rowOff>0</xdr:rowOff>
    </xdr:to>
    <xdr:pic macro="[0]!Minus2_Click">
      <xdr:nvPicPr>
        <xdr:cNvPr id="2369" name="Picture 2368">
          <a:extLst>
            <a:ext uri="{FF2B5EF4-FFF2-40B4-BE49-F238E27FC236}">
              <a16:creationId xmlns:a16="http://schemas.microsoft.com/office/drawing/2014/main" id="{8304FB5D-E4BD-43F4-A21D-12F082BF08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00727" y="5743576"/>
          <a:ext cx="285748" cy="238124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  <a:scene3d>
          <a:camera prst="orthographicFront"/>
          <a:lightRig rig="threePt" dir="t"/>
        </a:scene3d>
        <a:sp3d>
          <a:bevelT w="152400" h="50800" prst="softRound"/>
        </a:sp3d>
      </xdr:spPr>
    </xdr:pic>
    <xdr:clientData/>
  </xdr:twoCellAnchor>
  <xdr:twoCellAnchor editAs="oneCell">
    <xdr:from>
      <xdr:col>4</xdr:col>
      <xdr:colOff>104775</xdr:colOff>
      <xdr:row>25</xdr:row>
      <xdr:rowOff>638175</xdr:rowOff>
    </xdr:from>
    <xdr:to>
      <xdr:col>4</xdr:col>
      <xdr:colOff>378319</xdr:colOff>
      <xdr:row>26</xdr:row>
      <xdr:rowOff>123825</xdr:rowOff>
    </xdr:to>
    <xdr:pic macro="[0]!Plus3_Click">
      <xdr:nvPicPr>
        <xdr:cNvPr id="2370" name="Picture 2369">
          <a:extLst>
            <a:ext uri="{FF2B5EF4-FFF2-40B4-BE49-F238E27FC236}">
              <a16:creationId xmlns:a16="http://schemas.microsoft.com/office/drawing/2014/main" id="{42D633EE-EEAE-48F9-85ED-42A625B565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438775" y="7391400"/>
          <a:ext cx="273544" cy="23812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  <a:scene3d>
          <a:camera prst="orthographicFront"/>
          <a:lightRig rig="threePt" dir="t"/>
        </a:scene3d>
        <a:sp3d>
          <a:bevelT w="152400" h="50800" prst="softRound"/>
        </a:sp3d>
      </xdr:spPr>
    </xdr:pic>
    <xdr:clientData/>
  </xdr:twoCellAnchor>
  <xdr:twoCellAnchor editAs="oneCell">
    <xdr:from>
      <xdr:col>4</xdr:col>
      <xdr:colOff>466727</xdr:colOff>
      <xdr:row>25</xdr:row>
      <xdr:rowOff>638176</xdr:rowOff>
    </xdr:from>
    <xdr:to>
      <xdr:col>5</xdr:col>
      <xdr:colOff>142875</xdr:colOff>
      <xdr:row>26</xdr:row>
      <xdr:rowOff>123825</xdr:rowOff>
    </xdr:to>
    <xdr:pic macro="[0]!Minus3_Click">
      <xdr:nvPicPr>
        <xdr:cNvPr id="2371" name="Picture 2370">
          <a:extLst>
            <a:ext uri="{FF2B5EF4-FFF2-40B4-BE49-F238E27FC236}">
              <a16:creationId xmlns:a16="http://schemas.microsoft.com/office/drawing/2014/main" id="{EEFB4A28-6C14-4C8D-9FD4-BD3A3EB4E4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00727" y="7391401"/>
          <a:ext cx="285748" cy="238124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  <a:scene3d>
          <a:camera prst="orthographicFront"/>
          <a:lightRig rig="threePt" dir="t"/>
        </a:scene3d>
        <a:sp3d>
          <a:bevelT w="152400" h="50800" prst="softRound"/>
        </a:sp3d>
      </xdr:spPr>
    </xdr:pic>
    <xdr:clientData/>
  </xdr:twoCellAnchor>
  <xdr:oneCellAnchor>
    <xdr:from>
      <xdr:col>2</xdr:col>
      <xdr:colOff>623274</xdr:colOff>
      <xdr:row>0</xdr:row>
      <xdr:rowOff>0</xdr:rowOff>
    </xdr:from>
    <xdr:ext cx="1766381" cy="593304"/>
    <xdr:sp macro="" textlink="">
      <xdr:nvSpPr>
        <xdr:cNvPr id="2373" name="TextBox 2372">
          <a:extLst>
            <a:ext uri="{FF2B5EF4-FFF2-40B4-BE49-F238E27FC236}">
              <a16:creationId xmlns:a16="http://schemas.microsoft.com/office/drawing/2014/main" id="{10E56A72-7C64-A013-45ED-8CAE52BB655D}"/>
            </a:ext>
          </a:extLst>
        </xdr:cNvPr>
        <xdr:cNvSpPr txBox="1"/>
      </xdr:nvSpPr>
      <xdr:spPr>
        <a:xfrm>
          <a:off x="2356824" y="0"/>
          <a:ext cx="1766381" cy="59330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pPr algn="ctr"/>
          <a:r>
            <a:rPr lang="en-US" sz="1800" b="0" cap="none" spc="0">
              <a:ln w="0">
                <a:solidFill>
                  <a:schemeClr val="accent2"/>
                </a:solidFill>
              </a:ln>
              <a:solidFill>
                <a:schemeClr val="accent2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Speedy</a:t>
          </a:r>
          <a:r>
            <a:rPr lang="en-US" sz="1800" b="0" cap="none" spc="0" baseline="0">
              <a:ln w="0">
                <a:solidFill>
                  <a:schemeClr val="accent2"/>
                </a:solidFill>
              </a:ln>
              <a:solidFill>
                <a:schemeClr val="accent2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Bill</a:t>
          </a:r>
          <a:br>
            <a:rPr lang="en-US" sz="1200" b="0" cap="none" spc="0" baseline="0">
              <a:ln w="0">
                <a:solidFill>
                  <a:schemeClr val="accent2"/>
                </a:solidFill>
              </a:ln>
              <a:solidFill>
                <a:schemeClr val="accent2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</a:br>
          <a:r>
            <a:rPr lang="en-US" sz="1400" b="0" cap="none" spc="0" baseline="0">
              <a:ln w="0">
                <a:solidFill>
                  <a:schemeClr val="accent2"/>
                </a:solidFill>
              </a:ln>
              <a:solidFill>
                <a:schemeClr val="accent2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Quick Invoice System</a:t>
          </a:r>
          <a:endParaRPr lang="en-US" sz="1200" b="0" cap="none" spc="0">
            <a:ln w="0">
              <a:solidFill>
                <a:schemeClr val="accent2"/>
              </a:solidFill>
            </a:ln>
            <a:solidFill>
              <a:schemeClr val="accent2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twoCellAnchor>
    <xdr:from>
      <xdr:col>1</xdr:col>
      <xdr:colOff>206693</xdr:colOff>
      <xdr:row>15</xdr:row>
      <xdr:rowOff>50483</xdr:rowOff>
    </xdr:from>
    <xdr:to>
      <xdr:col>1</xdr:col>
      <xdr:colOff>869633</xdr:colOff>
      <xdr:row>15</xdr:row>
      <xdr:rowOff>606743</xdr:rowOff>
    </xdr:to>
    <xdr:pic>
      <xdr:nvPicPr>
        <xdr:cNvPr id="2411" name="Graphic 2410" descr="Sink">
          <a:extLst>
            <a:ext uri="{FF2B5EF4-FFF2-40B4-BE49-F238E27FC236}">
              <a16:creationId xmlns:a16="http://schemas.microsoft.com/office/drawing/2014/main" id="{BC8F769C-E9DA-4EB1-948C-64496BDB54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1"/>
            </a:ext>
          </a:extLst>
        </a:blip>
        <a:stretch>
          <a:fillRect/>
        </a:stretch>
      </xdr:blipFill>
      <xdr:spPr>
        <a:xfrm>
          <a:off x="863918" y="3546158"/>
          <a:ext cx="662940" cy="556260"/>
        </a:xfrm>
        <a:prstGeom prst="rect">
          <a:avLst/>
        </a:prstGeom>
      </xdr:spPr>
    </xdr:pic>
    <xdr:clientData/>
  </xdr:twoCellAnchor>
  <xdr:twoCellAnchor>
    <xdr:from>
      <xdr:col>1</xdr:col>
      <xdr:colOff>271463</xdr:colOff>
      <xdr:row>16</xdr:row>
      <xdr:rowOff>154436</xdr:rowOff>
    </xdr:from>
    <xdr:to>
      <xdr:col>1</xdr:col>
      <xdr:colOff>804863</xdr:colOff>
      <xdr:row>16</xdr:row>
      <xdr:rowOff>693290</xdr:rowOff>
    </xdr:to>
    <xdr:pic>
      <xdr:nvPicPr>
        <xdr:cNvPr id="2412" name="Picture 2411">
          <a:extLst>
            <a:ext uri="{FF2B5EF4-FFF2-40B4-BE49-F238E27FC236}">
              <a16:creationId xmlns:a16="http://schemas.microsoft.com/office/drawing/2014/main" id="{1C648B18-D916-4DE4-B3E1-ED3A9FC453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928688" y="4307336"/>
          <a:ext cx="533400" cy="538854"/>
        </a:xfrm>
        <a:prstGeom prst="rect">
          <a:avLst/>
        </a:prstGeom>
      </xdr:spPr>
    </xdr:pic>
    <xdr:clientData/>
  </xdr:twoCellAnchor>
  <xdr:twoCellAnchor>
    <xdr:from>
      <xdr:col>2</xdr:col>
      <xdr:colOff>1103948</xdr:colOff>
      <xdr:row>15</xdr:row>
      <xdr:rowOff>46672</xdr:rowOff>
    </xdr:from>
    <xdr:to>
      <xdr:col>2</xdr:col>
      <xdr:colOff>1667828</xdr:colOff>
      <xdr:row>15</xdr:row>
      <xdr:rowOff>610552</xdr:rowOff>
    </xdr:to>
    <xdr:pic>
      <xdr:nvPicPr>
        <xdr:cNvPr id="2413" name="Graphic 2412" descr="Sink">
          <a:extLst>
            <a:ext uri="{FF2B5EF4-FFF2-40B4-BE49-F238E27FC236}">
              <a16:creationId xmlns:a16="http://schemas.microsoft.com/office/drawing/2014/main" id="{3B5EAC1E-04B8-4DC0-AF1E-8DC9D4B64B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2837498" y="3542347"/>
          <a:ext cx="563880" cy="563880"/>
        </a:xfrm>
        <a:prstGeom prst="rect">
          <a:avLst/>
        </a:prstGeom>
      </xdr:spPr>
    </xdr:pic>
    <xdr:clientData/>
  </xdr:twoCellAnchor>
  <xdr:twoCellAnchor>
    <xdr:from>
      <xdr:col>2</xdr:col>
      <xdr:colOff>1119188</xdr:colOff>
      <xdr:row>16</xdr:row>
      <xdr:rowOff>154436</xdr:rowOff>
    </xdr:from>
    <xdr:to>
      <xdr:col>2</xdr:col>
      <xdr:colOff>1652588</xdr:colOff>
      <xdr:row>16</xdr:row>
      <xdr:rowOff>693290</xdr:rowOff>
    </xdr:to>
    <xdr:pic>
      <xdr:nvPicPr>
        <xdr:cNvPr id="2414" name="Picture 2413">
          <a:extLst>
            <a:ext uri="{FF2B5EF4-FFF2-40B4-BE49-F238E27FC236}">
              <a16:creationId xmlns:a16="http://schemas.microsoft.com/office/drawing/2014/main" id="{471F8B68-D4E5-4CC2-B9A7-F87F25BB47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2852738" y="4307336"/>
          <a:ext cx="533400" cy="538854"/>
        </a:xfrm>
        <a:prstGeom prst="rect">
          <a:avLst/>
        </a:prstGeom>
      </xdr:spPr>
    </xdr:pic>
    <xdr:clientData/>
  </xdr:twoCellAnchor>
  <xdr:twoCellAnchor>
    <xdr:from>
      <xdr:col>3</xdr:col>
      <xdr:colOff>132397</xdr:colOff>
      <xdr:row>15</xdr:row>
      <xdr:rowOff>50483</xdr:rowOff>
    </xdr:from>
    <xdr:to>
      <xdr:col>3</xdr:col>
      <xdr:colOff>696277</xdr:colOff>
      <xdr:row>15</xdr:row>
      <xdr:rowOff>606743</xdr:rowOff>
    </xdr:to>
    <xdr:pic>
      <xdr:nvPicPr>
        <xdr:cNvPr id="2415" name="Graphic 2414" descr="Sink">
          <a:extLst>
            <a:ext uri="{FF2B5EF4-FFF2-40B4-BE49-F238E27FC236}">
              <a16:creationId xmlns:a16="http://schemas.microsoft.com/office/drawing/2014/main" id="{5AE0A081-5419-4B67-824A-285EEA8468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4637722" y="3546158"/>
          <a:ext cx="563880" cy="556260"/>
        </a:xfrm>
        <a:prstGeom prst="rect">
          <a:avLst/>
        </a:prstGeom>
        <a:effectLst/>
      </xdr:spPr>
    </xdr:pic>
    <xdr:clientData/>
  </xdr:twoCellAnchor>
  <xdr:twoCellAnchor>
    <xdr:from>
      <xdr:col>3</xdr:col>
      <xdr:colOff>147638</xdr:colOff>
      <xdr:row>16</xdr:row>
      <xdr:rowOff>154436</xdr:rowOff>
    </xdr:from>
    <xdr:to>
      <xdr:col>3</xdr:col>
      <xdr:colOff>681038</xdr:colOff>
      <xdr:row>16</xdr:row>
      <xdr:rowOff>693290</xdr:rowOff>
    </xdr:to>
    <xdr:pic>
      <xdr:nvPicPr>
        <xdr:cNvPr id="2416" name="Picture 2415">
          <a:extLst>
            <a:ext uri="{FF2B5EF4-FFF2-40B4-BE49-F238E27FC236}">
              <a16:creationId xmlns:a16="http://schemas.microsoft.com/office/drawing/2014/main" id="{2E88D87D-F402-4991-9F2C-3DDA124B12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4652963" y="4307336"/>
          <a:ext cx="533400" cy="538854"/>
        </a:xfrm>
        <a:prstGeom prst="rect">
          <a:avLst/>
        </a:prstGeom>
      </xdr:spPr>
    </xdr:pic>
    <xdr:clientData/>
  </xdr:twoCellAnchor>
  <xdr:twoCellAnchor>
    <xdr:from>
      <xdr:col>1</xdr:col>
      <xdr:colOff>305753</xdr:colOff>
      <xdr:row>20</xdr:row>
      <xdr:rowOff>115253</xdr:rowOff>
    </xdr:from>
    <xdr:to>
      <xdr:col>1</xdr:col>
      <xdr:colOff>770572</xdr:colOff>
      <xdr:row>20</xdr:row>
      <xdr:rowOff>580072</xdr:rowOff>
    </xdr:to>
    <xdr:pic>
      <xdr:nvPicPr>
        <xdr:cNvPr id="2417" name="Picture 2416">
          <a:extLst>
            <a:ext uri="{FF2B5EF4-FFF2-40B4-BE49-F238E27FC236}">
              <a16:creationId xmlns:a16="http://schemas.microsoft.com/office/drawing/2014/main" id="{20D1E3B7-7F2C-4841-8206-3E3F4C09B9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62978" y="5715953"/>
          <a:ext cx="464819" cy="464819"/>
        </a:xfrm>
        <a:prstGeom prst="rect">
          <a:avLst/>
        </a:prstGeom>
        <a:effectLst>
          <a:outerShdw blurRad="50800" dist="50800" dir="5400000" algn="ctr" rotWithShape="0">
            <a:schemeClr val="accent6"/>
          </a:outerShdw>
        </a:effectLst>
      </xdr:spPr>
    </xdr:pic>
    <xdr:clientData/>
  </xdr:twoCellAnchor>
  <xdr:twoCellAnchor>
    <xdr:from>
      <xdr:col>2</xdr:col>
      <xdr:colOff>1153478</xdr:colOff>
      <xdr:row>20</xdr:row>
      <xdr:rowOff>115253</xdr:rowOff>
    </xdr:from>
    <xdr:to>
      <xdr:col>2</xdr:col>
      <xdr:colOff>1618297</xdr:colOff>
      <xdr:row>20</xdr:row>
      <xdr:rowOff>580072</xdr:rowOff>
    </xdr:to>
    <xdr:pic>
      <xdr:nvPicPr>
        <xdr:cNvPr id="2418" name="Picture 2417">
          <a:extLst>
            <a:ext uri="{FF2B5EF4-FFF2-40B4-BE49-F238E27FC236}">
              <a16:creationId xmlns:a16="http://schemas.microsoft.com/office/drawing/2014/main" id="{4E34EC1A-5725-4902-A4D5-D7DD09CF88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87028" y="5715953"/>
          <a:ext cx="464819" cy="464819"/>
        </a:xfrm>
        <a:prstGeom prst="rect">
          <a:avLst/>
        </a:prstGeom>
        <a:solidFill>
          <a:schemeClr val="lt1"/>
        </a:solidFill>
        <a:ln w="12700" cap="flat">
          <a:solidFill>
            <a:schemeClr val="accent2"/>
          </a:solidFill>
          <a:prstDash val="solid"/>
          <a:miter/>
        </a:ln>
        <a:effectLst>
          <a:outerShdw blurRad="50800" dist="50800" dir="5400000" algn="ctr" rotWithShape="0">
            <a:schemeClr val="accent4">
              <a:lumMod val="60000"/>
              <a:lumOff val="40000"/>
            </a:schemeClr>
          </a:outerShdw>
        </a:effectLst>
      </xdr:spPr>
    </xdr:pic>
    <xdr:clientData/>
  </xdr:twoCellAnchor>
  <xdr:twoCellAnchor>
    <xdr:from>
      <xdr:col>3</xdr:col>
      <xdr:colOff>181928</xdr:colOff>
      <xdr:row>20</xdr:row>
      <xdr:rowOff>115253</xdr:rowOff>
    </xdr:from>
    <xdr:to>
      <xdr:col>3</xdr:col>
      <xdr:colOff>646747</xdr:colOff>
      <xdr:row>20</xdr:row>
      <xdr:rowOff>580072</xdr:rowOff>
    </xdr:to>
    <xdr:pic>
      <xdr:nvPicPr>
        <xdr:cNvPr id="2419" name="Picture 2418">
          <a:extLst>
            <a:ext uri="{FF2B5EF4-FFF2-40B4-BE49-F238E27FC236}">
              <a16:creationId xmlns:a16="http://schemas.microsoft.com/office/drawing/2014/main" id="{16D0A75C-D72B-415B-A8AD-D1D369F20C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687253" y="5715953"/>
          <a:ext cx="464819" cy="464819"/>
        </a:xfrm>
        <a:prstGeom prst="rect">
          <a:avLst/>
        </a:prstGeom>
        <a:effectLst>
          <a:outerShdw blurRad="50800" dist="50800" dir="5400000" algn="ctr" rotWithShape="0">
            <a:srgbClr val="FF0000"/>
          </a:outerShdw>
        </a:effectLst>
      </xdr:spPr>
    </xdr:pic>
    <xdr:clientData/>
  </xdr:twoCellAnchor>
  <xdr:twoCellAnchor>
    <xdr:from>
      <xdr:col>1</xdr:col>
      <xdr:colOff>244793</xdr:colOff>
      <xdr:row>25</xdr:row>
      <xdr:rowOff>104776</xdr:rowOff>
    </xdr:from>
    <xdr:to>
      <xdr:col>1</xdr:col>
      <xdr:colOff>694373</xdr:colOff>
      <xdr:row>25</xdr:row>
      <xdr:rowOff>554356</xdr:rowOff>
    </xdr:to>
    <xdr:pic>
      <xdr:nvPicPr>
        <xdr:cNvPr id="2420" name="Graphic 2419" descr="Sink">
          <a:extLst>
            <a:ext uri="{FF2B5EF4-FFF2-40B4-BE49-F238E27FC236}">
              <a16:creationId xmlns:a16="http://schemas.microsoft.com/office/drawing/2014/main" id="{09BD1159-3111-4320-AFE4-6F186C8D73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1"/>
            </a:ext>
          </a:extLst>
        </a:blip>
        <a:stretch>
          <a:fillRect/>
        </a:stretch>
      </xdr:blipFill>
      <xdr:spPr>
        <a:xfrm>
          <a:off x="902018" y="7943851"/>
          <a:ext cx="449580" cy="449580"/>
        </a:xfrm>
        <a:prstGeom prst="rect">
          <a:avLst/>
        </a:prstGeom>
      </xdr:spPr>
    </xdr:pic>
    <xdr:clientData/>
  </xdr:twoCellAnchor>
  <xdr:twoCellAnchor>
    <xdr:from>
      <xdr:col>1</xdr:col>
      <xdr:colOff>580073</xdr:colOff>
      <xdr:row>25</xdr:row>
      <xdr:rowOff>310515</xdr:rowOff>
    </xdr:from>
    <xdr:to>
      <xdr:col>1</xdr:col>
      <xdr:colOff>831532</xdr:colOff>
      <xdr:row>25</xdr:row>
      <xdr:rowOff>561974</xdr:rowOff>
    </xdr:to>
    <xdr:pic>
      <xdr:nvPicPr>
        <xdr:cNvPr id="2421" name="Picture 2420">
          <a:extLst>
            <a:ext uri="{FF2B5EF4-FFF2-40B4-BE49-F238E27FC236}">
              <a16:creationId xmlns:a16="http://schemas.microsoft.com/office/drawing/2014/main" id="{C763D8A7-9D9A-430C-AB3D-3747D3F470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37298" y="8149590"/>
          <a:ext cx="251459" cy="251459"/>
        </a:xfrm>
        <a:prstGeom prst="rect">
          <a:avLst/>
        </a:prstGeom>
        <a:effectLst>
          <a:outerShdw blurRad="50800" dist="50800" dir="5400000" algn="ctr" rotWithShape="0">
            <a:schemeClr val="accent6"/>
          </a:outerShdw>
        </a:effectLst>
      </xdr:spPr>
    </xdr:pic>
    <xdr:clientData/>
  </xdr:twoCellAnchor>
  <xdr:twoCellAnchor>
    <xdr:from>
      <xdr:col>2</xdr:col>
      <xdr:colOff>1092518</xdr:colOff>
      <xdr:row>25</xdr:row>
      <xdr:rowOff>104776</xdr:rowOff>
    </xdr:from>
    <xdr:to>
      <xdr:col>2</xdr:col>
      <xdr:colOff>1542098</xdr:colOff>
      <xdr:row>25</xdr:row>
      <xdr:rowOff>554356</xdr:rowOff>
    </xdr:to>
    <xdr:pic>
      <xdr:nvPicPr>
        <xdr:cNvPr id="2422" name="Graphic 2421" descr="Sink">
          <a:extLst>
            <a:ext uri="{FF2B5EF4-FFF2-40B4-BE49-F238E27FC236}">
              <a16:creationId xmlns:a16="http://schemas.microsoft.com/office/drawing/2014/main" id="{E540C8F0-3649-46DD-B3FB-6E87B1EFF0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1"/>
            </a:ext>
          </a:extLst>
        </a:blip>
        <a:stretch>
          <a:fillRect/>
        </a:stretch>
      </xdr:blipFill>
      <xdr:spPr>
        <a:xfrm>
          <a:off x="2826068" y="7943851"/>
          <a:ext cx="449580" cy="449580"/>
        </a:xfrm>
        <a:prstGeom prst="rect">
          <a:avLst/>
        </a:prstGeom>
        <a:effectLst>
          <a:outerShdw blurRad="50800" dist="50800" dir="5400000" algn="ctr" rotWithShape="0">
            <a:schemeClr val="accent2"/>
          </a:outerShdw>
        </a:effectLst>
      </xdr:spPr>
    </xdr:pic>
    <xdr:clientData/>
  </xdr:twoCellAnchor>
  <xdr:twoCellAnchor>
    <xdr:from>
      <xdr:col>2</xdr:col>
      <xdr:colOff>1427798</xdr:colOff>
      <xdr:row>25</xdr:row>
      <xdr:rowOff>310515</xdr:rowOff>
    </xdr:from>
    <xdr:to>
      <xdr:col>2</xdr:col>
      <xdr:colOff>1679257</xdr:colOff>
      <xdr:row>25</xdr:row>
      <xdr:rowOff>561974</xdr:rowOff>
    </xdr:to>
    <xdr:pic>
      <xdr:nvPicPr>
        <xdr:cNvPr id="2423" name="Picture 2422">
          <a:extLst>
            <a:ext uri="{FF2B5EF4-FFF2-40B4-BE49-F238E27FC236}">
              <a16:creationId xmlns:a16="http://schemas.microsoft.com/office/drawing/2014/main" id="{90382057-4F06-42A9-AA0D-CED41F7518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61348" y="8149590"/>
          <a:ext cx="251459" cy="251459"/>
        </a:xfrm>
        <a:prstGeom prst="rect">
          <a:avLst/>
        </a:prstGeom>
        <a:effectLst>
          <a:outerShdw blurRad="50800" dist="50800" dir="5400000" algn="ctr" rotWithShape="0">
            <a:schemeClr val="accent2"/>
          </a:outerShdw>
        </a:effectLst>
      </xdr:spPr>
    </xdr:pic>
    <xdr:clientData/>
  </xdr:twoCellAnchor>
  <xdr:twoCellAnchor>
    <xdr:from>
      <xdr:col>3</xdr:col>
      <xdr:colOff>126683</xdr:colOff>
      <xdr:row>25</xdr:row>
      <xdr:rowOff>89536</xdr:rowOff>
    </xdr:from>
    <xdr:to>
      <xdr:col>3</xdr:col>
      <xdr:colOff>576263</xdr:colOff>
      <xdr:row>25</xdr:row>
      <xdr:rowOff>539116</xdr:rowOff>
    </xdr:to>
    <xdr:pic>
      <xdr:nvPicPr>
        <xdr:cNvPr id="2424" name="Graphic 2423" descr="Sink">
          <a:extLst>
            <a:ext uri="{FF2B5EF4-FFF2-40B4-BE49-F238E27FC236}">
              <a16:creationId xmlns:a16="http://schemas.microsoft.com/office/drawing/2014/main" id="{DEEB65D7-2971-42E2-9526-F8A57CCE17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1"/>
            </a:ext>
          </a:extLst>
        </a:blip>
        <a:stretch>
          <a:fillRect/>
        </a:stretch>
      </xdr:blipFill>
      <xdr:spPr>
        <a:xfrm>
          <a:off x="4632008" y="7928611"/>
          <a:ext cx="449580" cy="449580"/>
        </a:xfrm>
        <a:prstGeom prst="rect">
          <a:avLst/>
        </a:prstGeom>
        <a:effectLst>
          <a:outerShdw blurRad="50800" dist="50800" dir="5400000" algn="ctr" rotWithShape="0">
            <a:srgbClr val="FF0000"/>
          </a:outerShdw>
        </a:effectLst>
      </xdr:spPr>
    </xdr:pic>
    <xdr:clientData/>
  </xdr:twoCellAnchor>
  <xdr:twoCellAnchor>
    <xdr:from>
      <xdr:col>3</xdr:col>
      <xdr:colOff>450533</xdr:colOff>
      <xdr:row>25</xdr:row>
      <xdr:rowOff>325755</xdr:rowOff>
    </xdr:from>
    <xdr:to>
      <xdr:col>3</xdr:col>
      <xdr:colOff>701992</xdr:colOff>
      <xdr:row>25</xdr:row>
      <xdr:rowOff>577214</xdr:rowOff>
    </xdr:to>
    <xdr:pic>
      <xdr:nvPicPr>
        <xdr:cNvPr id="2425" name="Picture 2424">
          <a:extLst>
            <a:ext uri="{FF2B5EF4-FFF2-40B4-BE49-F238E27FC236}">
              <a16:creationId xmlns:a16="http://schemas.microsoft.com/office/drawing/2014/main" id="{5635AE7B-CACA-4143-8FEE-635FFECFC1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55858" y="8164830"/>
          <a:ext cx="251459" cy="251459"/>
        </a:xfrm>
        <a:prstGeom prst="rect">
          <a:avLst/>
        </a:prstGeom>
        <a:effectLst>
          <a:outerShdw blurRad="50800" dist="50800" dir="5400000" algn="ctr" rotWithShape="0">
            <a:srgbClr val="FF0000"/>
          </a:outerShdw>
        </a:effec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22860</xdr:colOff>
      <xdr:row>2</xdr:row>
      <xdr:rowOff>15240</xdr:rowOff>
    </xdr:from>
    <xdr:ext cx="662940" cy="556260"/>
    <xdr:pic>
      <xdr:nvPicPr>
        <xdr:cNvPr id="2" name="Graphic 1" descr="Sink">
          <a:extLst>
            <a:ext uri="{FF2B5EF4-FFF2-40B4-BE49-F238E27FC236}">
              <a16:creationId xmlns:a16="http://schemas.microsoft.com/office/drawing/2014/main" id="{F6384D1F-3AAF-44CB-B6E4-B867DAE7D1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242060" y="558165"/>
          <a:ext cx="662940" cy="556260"/>
        </a:xfrm>
        <a:prstGeom prst="rect">
          <a:avLst/>
        </a:prstGeom>
      </xdr:spPr>
    </xdr:pic>
    <xdr:clientData/>
  </xdr:oneCellAnchor>
  <xdr:oneCellAnchor>
    <xdr:from>
      <xdr:col>3</xdr:col>
      <xdr:colOff>15240</xdr:colOff>
      <xdr:row>2</xdr:row>
      <xdr:rowOff>7620</xdr:rowOff>
    </xdr:from>
    <xdr:ext cx="563880" cy="563880"/>
    <xdr:pic>
      <xdr:nvPicPr>
        <xdr:cNvPr id="3" name="Graphic 2" descr="Sink">
          <a:extLst>
            <a:ext uri="{FF2B5EF4-FFF2-40B4-BE49-F238E27FC236}">
              <a16:creationId xmlns:a16="http://schemas.microsoft.com/office/drawing/2014/main" id="{A2741D02-DD20-47E2-B41F-289D36DADF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844040" y="388620"/>
          <a:ext cx="563880" cy="563880"/>
        </a:xfrm>
        <a:prstGeom prst="rect">
          <a:avLst/>
        </a:prstGeom>
      </xdr:spPr>
    </xdr:pic>
    <xdr:clientData/>
  </xdr:oneCellAnchor>
  <xdr:twoCellAnchor>
    <xdr:from>
      <xdr:col>4</xdr:col>
      <xdr:colOff>45720</xdr:colOff>
      <xdr:row>2</xdr:row>
      <xdr:rowOff>15240</xdr:rowOff>
    </xdr:from>
    <xdr:to>
      <xdr:col>5</xdr:col>
      <xdr:colOff>0</xdr:colOff>
      <xdr:row>3</xdr:row>
      <xdr:rowOff>0</xdr:rowOff>
    </xdr:to>
    <xdr:pic>
      <xdr:nvPicPr>
        <xdr:cNvPr id="4" name="Graphic 3" descr="Sink">
          <a:extLst>
            <a:ext uri="{FF2B5EF4-FFF2-40B4-BE49-F238E27FC236}">
              <a16:creationId xmlns:a16="http://schemas.microsoft.com/office/drawing/2014/main" id="{80336E94-CAAA-4046-A638-69FB50BC12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484120" y="396240"/>
          <a:ext cx="563880" cy="175260"/>
        </a:xfrm>
        <a:prstGeom prst="rect">
          <a:avLst/>
        </a:prstGeom>
        <a:effectLst/>
      </xdr:spPr>
    </xdr:pic>
    <xdr:clientData/>
  </xdr:twoCellAnchor>
  <xdr:oneCellAnchor>
    <xdr:from>
      <xdr:col>6</xdr:col>
      <xdr:colOff>83820</xdr:colOff>
      <xdr:row>2</xdr:row>
      <xdr:rowOff>60960</xdr:rowOff>
    </xdr:from>
    <xdr:ext cx="464819" cy="464819"/>
    <xdr:pic>
      <xdr:nvPicPr>
        <xdr:cNvPr id="5" name="Picture 4">
          <a:extLst>
            <a:ext uri="{FF2B5EF4-FFF2-40B4-BE49-F238E27FC236}">
              <a16:creationId xmlns:a16="http://schemas.microsoft.com/office/drawing/2014/main" id="{3A8ED046-8B1B-4EAF-88ED-73B7513E56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41420" y="441960"/>
          <a:ext cx="464819" cy="464819"/>
        </a:xfrm>
        <a:prstGeom prst="rect">
          <a:avLst/>
        </a:prstGeom>
        <a:effectLst>
          <a:outerShdw blurRad="50800" dist="50800" dir="5400000" algn="ctr" rotWithShape="0">
            <a:schemeClr val="accent6"/>
          </a:outerShdw>
        </a:effectLst>
      </xdr:spPr>
    </xdr:pic>
    <xdr:clientData/>
  </xdr:oneCellAnchor>
  <xdr:oneCellAnchor>
    <xdr:from>
      <xdr:col>7</xdr:col>
      <xdr:colOff>53340</xdr:colOff>
      <xdr:row>2</xdr:row>
      <xdr:rowOff>45720</xdr:rowOff>
    </xdr:from>
    <xdr:ext cx="464819" cy="464819"/>
    <xdr:pic>
      <xdr:nvPicPr>
        <xdr:cNvPr id="6" name="Picture 5">
          <a:extLst>
            <a:ext uri="{FF2B5EF4-FFF2-40B4-BE49-F238E27FC236}">
              <a16:creationId xmlns:a16="http://schemas.microsoft.com/office/drawing/2014/main" id="{7F96804A-C8FB-463F-A6C2-C3697C3BFA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20540" y="426720"/>
          <a:ext cx="464819" cy="464819"/>
        </a:xfrm>
        <a:prstGeom prst="rect">
          <a:avLst/>
        </a:prstGeom>
        <a:solidFill>
          <a:schemeClr val="lt1"/>
        </a:solidFill>
        <a:ln w="12700" cap="flat">
          <a:solidFill>
            <a:schemeClr val="accent2"/>
          </a:solidFill>
          <a:prstDash val="solid"/>
          <a:miter/>
        </a:ln>
        <a:effectLst>
          <a:outerShdw blurRad="50800" dist="50800" dir="5400000" algn="ctr" rotWithShape="0">
            <a:schemeClr val="accent4">
              <a:lumMod val="60000"/>
              <a:lumOff val="40000"/>
            </a:schemeClr>
          </a:outerShdw>
        </a:effectLst>
      </xdr:spPr>
    </xdr:pic>
    <xdr:clientData/>
  </xdr:oneCellAnchor>
  <xdr:oneCellAnchor>
    <xdr:from>
      <xdr:col>8</xdr:col>
      <xdr:colOff>60960</xdr:colOff>
      <xdr:row>2</xdr:row>
      <xdr:rowOff>53340</xdr:rowOff>
    </xdr:from>
    <xdr:ext cx="464819" cy="464819"/>
    <xdr:pic>
      <xdr:nvPicPr>
        <xdr:cNvPr id="7" name="Picture 6">
          <a:extLst>
            <a:ext uri="{FF2B5EF4-FFF2-40B4-BE49-F238E27FC236}">
              <a16:creationId xmlns:a16="http://schemas.microsoft.com/office/drawing/2014/main" id="{A5CDB183-2B3E-4FBA-AEFD-5BBE77E871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37760" y="434340"/>
          <a:ext cx="464819" cy="464819"/>
        </a:xfrm>
        <a:prstGeom prst="rect">
          <a:avLst/>
        </a:prstGeom>
        <a:effectLst>
          <a:outerShdw blurRad="50800" dist="50800" dir="5400000" algn="ctr" rotWithShape="0">
            <a:srgbClr val="FF0000"/>
          </a:outerShdw>
        </a:effectLst>
      </xdr:spPr>
    </xdr:pic>
    <xdr:clientData/>
  </xdr:oneCellAnchor>
  <xdr:oneCellAnchor>
    <xdr:from>
      <xdr:col>10</xdr:col>
      <xdr:colOff>7620</xdr:colOff>
      <xdr:row>2</xdr:row>
      <xdr:rowOff>0</xdr:rowOff>
    </xdr:from>
    <xdr:ext cx="449580" cy="449580"/>
    <xdr:pic>
      <xdr:nvPicPr>
        <xdr:cNvPr id="8" name="Graphic 7" descr="Sink">
          <a:extLst>
            <a:ext uri="{FF2B5EF4-FFF2-40B4-BE49-F238E27FC236}">
              <a16:creationId xmlns:a16="http://schemas.microsoft.com/office/drawing/2014/main" id="{CE2D3178-901C-4FA6-B90F-E85B8CC277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6103620" y="381000"/>
          <a:ext cx="449580" cy="449580"/>
        </a:xfrm>
        <a:prstGeom prst="rect">
          <a:avLst/>
        </a:prstGeom>
      </xdr:spPr>
    </xdr:pic>
    <xdr:clientData/>
  </xdr:oneCellAnchor>
  <xdr:oneCellAnchor>
    <xdr:from>
      <xdr:col>10</xdr:col>
      <xdr:colOff>342900</xdr:colOff>
      <xdr:row>2</xdr:row>
      <xdr:rowOff>205740</xdr:rowOff>
    </xdr:from>
    <xdr:ext cx="251459" cy="251459"/>
    <xdr:pic>
      <xdr:nvPicPr>
        <xdr:cNvPr id="9" name="Picture 8">
          <a:extLst>
            <a:ext uri="{FF2B5EF4-FFF2-40B4-BE49-F238E27FC236}">
              <a16:creationId xmlns:a16="http://schemas.microsoft.com/office/drawing/2014/main" id="{7A6AA7D4-A568-4475-A567-1E0D124DD5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38900" y="567690"/>
          <a:ext cx="251459" cy="251459"/>
        </a:xfrm>
        <a:prstGeom prst="rect">
          <a:avLst/>
        </a:prstGeom>
        <a:effectLst>
          <a:outerShdw blurRad="50800" dist="50800" dir="5400000" algn="ctr" rotWithShape="0">
            <a:schemeClr val="accent6"/>
          </a:outerShdw>
        </a:effectLst>
      </xdr:spPr>
    </xdr:pic>
    <xdr:clientData/>
  </xdr:oneCellAnchor>
  <xdr:oneCellAnchor>
    <xdr:from>
      <xdr:col>11</xdr:col>
      <xdr:colOff>7620</xdr:colOff>
      <xdr:row>2</xdr:row>
      <xdr:rowOff>0</xdr:rowOff>
    </xdr:from>
    <xdr:ext cx="449580" cy="449580"/>
    <xdr:pic>
      <xdr:nvPicPr>
        <xdr:cNvPr id="10" name="Graphic 9" descr="Sink">
          <a:extLst>
            <a:ext uri="{FF2B5EF4-FFF2-40B4-BE49-F238E27FC236}">
              <a16:creationId xmlns:a16="http://schemas.microsoft.com/office/drawing/2014/main" id="{0345B379-E772-479E-B87E-3A386CA84D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6713220" y="381000"/>
          <a:ext cx="449580" cy="449580"/>
        </a:xfrm>
        <a:prstGeom prst="rect">
          <a:avLst/>
        </a:prstGeom>
        <a:effectLst>
          <a:outerShdw blurRad="50800" dist="50800" dir="5400000" algn="ctr" rotWithShape="0">
            <a:schemeClr val="accent2"/>
          </a:outerShdw>
        </a:effectLst>
      </xdr:spPr>
    </xdr:pic>
    <xdr:clientData/>
  </xdr:oneCellAnchor>
  <xdr:oneCellAnchor>
    <xdr:from>
      <xdr:col>11</xdr:col>
      <xdr:colOff>342900</xdr:colOff>
      <xdr:row>2</xdr:row>
      <xdr:rowOff>205740</xdr:rowOff>
    </xdr:from>
    <xdr:ext cx="251459" cy="251459"/>
    <xdr:pic>
      <xdr:nvPicPr>
        <xdr:cNvPr id="11" name="Picture 10">
          <a:extLst>
            <a:ext uri="{FF2B5EF4-FFF2-40B4-BE49-F238E27FC236}">
              <a16:creationId xmlns:a16="http://schemas.microsoft.com/office/drawing/2014/main" id="{DABC1BEA-4343-45F7-A1B7-2B20FC512D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48500" y="567690"/>
          <a:ext cx="251459" cy="251459"/>
        </a:xfrm>
        <a:prstGeom prst="rect">
          <a:avLst/>
        </a:prstGeom>
        <a:effectLst>
          <a:outerShdw blurRad="50800" dist="50800" dir="5400000" algn="ctr" rotWithShape="0">
            <a:schemeClr val="accent2"/>
          </a:outerShdw>
        </a:effectLst>
      </xdr:spPr>
    </xdr:pic>
    <xdr:clientData/>
  </xdr:oneCellAnchor>
  <xdr:oneCellAnchor>
    <xdr:from>
      <xdr:col>14</xdr:col>
      <xdr:colOff>60960</xdr:colOff>
      <xdr:row>2</xdr:row>
      <xdr:rowOff>53340</xdr:rowOff>
    </xdr:from>
    <xdr:ext cx="525780" cy="518160"/>
    <xdr:pic>
      <xdr:nvPicPr>
        <xdr:cNvPr id="14" name="Graphic 13" descr="Magnet">
          <a:extLst>
            <a:ext uri="{FF2B5EF4-FFF2-40B4-BE49-F238E27FC236}">
              <a16:creationId xmlns:a16="http://schemas.microsoft.com/office/drawing/2014/main" id="{A9C49A3E-B4F6-47B0-AF5F-1C17357C42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8595360" y="434340"/>
          <a:ext cx="525780" cy="518160"/>
        </a:xfrm>
        <a:prstGeom prst="rect">
          <a:avLst/>
        </a:prstGeom>
      </xdr:spPr>
    </xdr:pic>
    <xdr:clientData/>
  </xdr:oneCellAnchor>
  <xdr:oneCellAnchor>
    <xdr:from>
      <xdr:col>15</xdr:col>
      <xdr:colOff>53340</xdr:colOff>
      <xdr:row>2</xdr:row>
      <xdr:rowOff>45720</xdr:rowOff>
    </xdr:from>
    <xdr:ext cx="525780" cy="525780"/>
    <xdr:pic>
      <xdr:nvPicPr>
        <xdr:cNvPr id="15" name="Graphic 14" descr="Magnet">
          <a:extLst>
            <a:ext uri="{FF2B5EF4-FFF2-40B4-BE49-F238E27FC236}">
              <a16:creationId xmlns:a16="http://schemas.microsoft.com/office/drawing/2014/main" id="{BFB085E5-0B62-48E0-9F3A-660ADD32A0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9197340" y="426720"/>
          <a:ext cx="525780" cy="525780"/>
        </a:xfrm>
        <a:prstGeom prst="rect">
          <a:avLst/>
        </a:prstGeom>
      </xdr:spPr>
    </xdr:pic>
    <xdr:clientData/>
  </xdr:oneCellAnchor>
  <xdr:oneCellAnchor>
    <xdr:from>
      <xdr:col>16</xdr:col>
      <xdr:colOff>30480</xdr:colOff>
      <xdr:row>2</xdr:row>
      <xdr:rowOff>38100</xdr:rowOff>
    </xdr:from>
    <xdr:ext cx="525780" cy="525780"/>
    <xdr:pic>
      <xdr:nvPicPr>
        <xdr:cNvPr id="16" name="Graphic 15" descr="Magnet">
          <a:extLst>
            <a:ext uri="{FF2B5EF4-FFF2-40B4-BE49-F238E27FC236}">
              <a16:creationId xmlns:a16="http://schemas.microsoft.com/office/drawing/2014/main" id="{A9208273-18EE-44A4-B68F-8B31FB3595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9784080" y="419100"/>
          <a:ext cx="525780" cy="525780"/>
        </a:xfrm>
        <a:prstGeom prst="rect">
          <a:avLst/>
        </a:prstGeom>
      </xdr:spPr>
    </xdr:pic>
    <xdr:clientData/>
  </xdr:oneCellAnchor>
  <xdr:oneCellAnchor>
    <xdr:from>
      <xdr:col>35</xdr:col>
      <xdr:colOff>60960</xdr:colOff>
      <xdr:row>1</xdr:row>
      <xdr:rowOff>571500</xdr:rowOff>
    </xdr:from>
    <xdr:ext cx="541020" cy="541020"/>
    <xdr:pic>
      <xdr:nvPicPr>
        <xdr:cNvPr id="17" name="Graphic 16" descr="Puzzle pieces">
          <a:extLst>
            <a:ext uri="{FF2B5EF4-FFF2-40B4-BE49-F238E27FC236}">
              <a16:creationId xmlns:a16="http://schemas.microsoft.com/office/drawing/2014/main" id="{B9F5C043-FF47-402A-B203-F8ACF9DD7C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21396960" y="381000"/>
          <a:ext cx="541020" cy="541020"/>
        </a:xfrm>
        <a:prstGeom prst="rect">
          <a:avLst/>
        </a:prstGeom>
      </xdr:spPr>
    </xdr:pic>
    <xdr:clientData/>
  </xdr:oneCellAnchor>
  <xdr:oneCellAnchor>
    <xdr:from>
      <xdr:col>35</xdr:col>
      <xdr:colOff>60960</xdr:colOff>
      <xdr:row>1</xdr:row>
      <xdr:rowOff>571500</xdr:rowOff>
    </xdr:from>
    <xdr:ext cx="541020" cy="541020"/>
    <xdr:pic>
      <xdr:nvPicPr>
        <xdr:cNvPr id="18" name="Graphic 17" descr="Puzzle pieces">
          <a:extLst>
            <a:ext uri="{FF2B5EF4-FFF2-40B4-BE49-F238E27FC236}">
              <a16:creationId xmlns:a16="http://schemas.microsoft.com/office/drawing/2014/main" id="{FDF6F228-059F-4F81-9788-72B3E917F8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>
          <a:off x="21396960" y="381000"/>
          <a:ext cx="541020" cy="541020"/>
        </a:xfrm>
        <a:prstGeom prst="rect">
          <a:avLst/>
        </a:prstGeom>
      </xdr:spPr>
    </xdr:pic>
    <xdr:clientData/>
  </xdr:oneCellAnchor>
  <xdr:oneCellAnchor>
    <xdr:from>
      <xdr:col>36</xdr:col>
      <xdr:colOff>60960</xdr:colOff>
      <xdr:row>1</xdr:row>
      <xdr:rowOff>571500</xdr:rowOff>
    </xdr:from>
    <xdr:ext cx="541020" cy="541020"/>
    <xdr:pic>
      <xdr:nvPicPr>
        <xdr:cNvPr id="19" name="Graphic 18" descr="Puzzle pieces">
          <a:extLst>
            <a:ext uri="{FF2B5EF4-FFF2-40B4-BE49-F238E27FC236}">
              <a16:creationId xmlns:a16="http://schemas.microsoft.com/office/drawing/2014/main" id="{88BA6F8A-41E7-46C3-B32A-43B6E2AAD1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22006560" y="381000"/>
          <a:ext cx="541020" cy="541020"/>
        </a:xfrm>
        <a:prstGeom prst="rect">
          <a:avLst/>
        </a:prstGeom>
      </xdr:spPr>
    </xdr:pic>
    <xdr:clientData/>
  </xdr:oneCellAnchor>
  <xdr:oneCellAnchor>
    <xdr:from>
      <xdr:col>36</xdr:col>
      <xdr:colOff>60960</xdr:colOff>
      <xdr:row>1</xdr:row>
      <xdr:rowOff>571500</xdr:rowOff>
    </xdr:from>
    <xdr:ext cx="541020" cy="541020"/>
    <xdr:pic>
      <xdr:nvPicPr>
        <xdr:cNvPr id="20" name="Graphic 19" descr="Puzzle pieces">
          <a:extLst>
            <a:ext uri="{FF2B5EF4-FFF2-40B4-BE49-F238E27FC236}">
              <a16:creationId xmlns:a16="http://schemas.microsoft.com/office/drawing/2014/main" id="{327798D6-5161-4068-A4A2-B157B55EFD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0"/>
            </a:ext>
          </a:extLst>
        </a:blip>
        <a:stretch>
          <a:fillRect/>
        </a:stretch>
      </xdr:blipFill>
      <xdr:spPr>
        <a:xfrm>
          <a:off x="22006560" y="381000"/>
          <a:ext cx="541020" cy="541020"/>
        </a:xfrm>
        <a:prstGeom prst="rect">
          <a:avLst/>
        </a:prstGeom>
      </xdr:spPr>
    </xdr:pic>
    <xdr:clientData/>
  </xdr:oneCellAnchor>
  <xdr:oneCellAnchor>
    <xdr:from>
      <xdr:col>37</xdr:col>
      <xdr:colOff>60960</xdr:colOff>
      <xdr:row>1</xdr:row>
      <xdr:rowOff>571500</xdr:rowOff>
    </xdr:from>
    <xdr:ext cx="541020" cy="541020"/>
    <xdr:pic>
      <xdr:nvPicPr>
        <xdr:cNvPr id="21" name="Graphic 20" descr="Puzzle pieces">
          <a:extLst>
            <a:ext uri="{FF2B5EF4-FFF2-40B4-BE49-F238E27FC236}">
              <a16:creationId xmlns:a16="http://schemas.microsoft.com/office/drawing/2014/main" id="{30FF80E2-94D6-4755-A6FA-D93B045FAF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22616160" y="381000"/>
          <a:ext cx="541020" cy="541020"/>
        </a:xfrm>
        <a:prstGeom prst="rect">
          <a:avLst/>
        </a:prstGeom>
      </xdr:spPr>
    </xdr:pic>
    <xdr:clientData/>
  </xdr:oneCellAnchor>
  <xdr:oneCellAnchor>
    <xdr:from>
      <xdr:col>37</xdr:col>
      <xdr:colOff>60960</xdr:colOff>
      <xdr:row>1</xdr:row>
      <xdr:rowOff>571500</xdr:rowOff>
    </xdr:from>
    <xdr:ext cx="541020" cy="541020"/>
    <xdr:pic>
      <xdr:nvPicPr>
        <xdr:cNvPr id="22" name="Graphic 21" descr="Puzzle pieces">
          <a:extLst>
            <a:ext uri="{FF2B5EF4-FFF2-40B4-BE49-F238E27FC236}">
              <a16:creationId xmlns:a16="http://schemas.microsoft.com/office/drawing/2014/main" id="{17B0C308-B3BD-40B6-972C-5318C496A0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22616160" y="381000"/>
          <a:ext cx="541020" cy="541020"/>
        </a:xfrm>
        <a:prstGeom prst="rect">
          <a:avLst/>
        </a:prstGeom>
      </xdr:spPr>
    </xdr:pic>
    <xdr:clientData/>
  </xdr:oneCellAnchor>
  <xdr:oneCellAnchor>
    <xdr:from>
      <xdr:col>39</xdr:col>
      <xdr:colOff>0</xdr:colOff>
      <xdr:row>2</xdr:row>
      <xdr:rowOff>0</xdr:rowOff>
    </xdr:from>
    <xdr:ext cx="304800" cy="304800"/>
    <xdr:pic>
      <xdr:nvPicPr>
        <xdr:cNvPr id="23" name="Graphic 22" descr="Puzzle pieces">
          <a:extLst>
            <a:ext uri="{FF2B5EF4-FFF2-40B4-BE49-F238E27FC236}">
              <a16:creationId xmlns:a16="http://schemas.microsoft.com/office/drawing/2014/main" id="{28408E9A-155C-4061-A682-C5FB316E5D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>
          <a:off x="23774400" y="381000"/>
          <a:ext cx="304800" cy="304800"/>
        </a:xfrm>
        <a:prstGeom prst="rect">
          <a:avLst/>
        </a:prstGeom>
      </xdr:spPr>
    </xdr:pic>
    <xdr:clientData/>
  </xdr:oneCellAnchor>
  <xdr:oneCellAnchor>
    <xdr:from>
      <xdr:col>39</xdr:col>
      <xdr:colOff>247218</xdr:colOff>
      <xdr:row>2</xdr:row>
      <xdr:rowOff>59304</xdr:rowOff>
    </xdr:from>
    <xdr:ext cx="309755" cy="309755"/>
    <xdr:pic>
      <xdr:nvPicPr>
        <xdr:cNvPr id="24" name="Graphic 23" descr="Puzzle pieces">
          <a:extLst>
            <a:ext uri="{FF2B5EF4-FFF2-40B4-BE49-F238E27FC236}">
              <a16:creationId xmlns:a16="http://schemas.microsoft.com/office/drawing/2014/main" id="{66AE7511-705F-437C-93F7-BE6153AD08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 rot="16807958">
          <a:off x="24021618" y="440304"/>
          <a:ext cx="309755" cy="309755"/>
        </a:xfrm>
        <a:prstGeom prst="rect">
          <a:avLst/>
        </a:prstGeom>
      </xdr:spPr>
    </xdr:pic>
    <xdr:clientData/>
  </xdr:oneCellAnchor>
  <xdr:oneCellAnchor>
    <xdr:from>
      <xdr:col>39</xdr:col>
      <xdr:colOff>106680</xdr:colOff>
      <xdr:row>2</xdr:row>
      <xdr:rowOff>246426</xdr:rowOff>
    </xdr:from>
    <xdr:ext cx="224358" cy="224358"/>
    <xdr:pic>
      <xdr:nvPicPr>
        <xdr:cNvPr id="25" name="Graphic 24" descr="Puzzle pieces">
          <a:extLst>
            <a:ext uri="{FF2B5EF4-FFF2-40B4-BE49-F238E27FC236}">
              <a16:creationId xmlns:a16="http://schemas.microsoft.com/office/drawing/2014/main" id="{228C7CE9-8D96-4DFA-8EF0-23717BB9EE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>
          <a:off x="23881080" y="570276"/>
          <a:ext cx="224358" cy="224358"/>
        </a:xfrm>
        <a:prstGeom prst="rect">
          <a:avLst/>
        </a:prstGeom>
      </xdr:spPr>
    </xdr:pic>
    <xdr:clientData/>
  </xdr:oneCellAnchor>
  <xdr:oneCellAnchor>
    <xdr:from>
      <xdr:col>40</xdr:col>
      <xdr:colOff>0</xdr:colOff>
      <xdr:row>2</xdr:row>
      <xdr:rowOff>0</xdr:rowOff>
    </xdr:from>
    <xdr:ext cx="304800" cy="304800"/>
    <xdr:pic>
      <xdr:nvPicPr>
        <xdr:cNvPr id="26" name="Graphic 25" descr="Puzzle pieces">
          <a:extLst>
            <a:ext uri="{FF2B5EF4-FFF2-40B4-BE49-F238E27FC236}">
              <a16:creationId xmlns:a16="http://schemas.microsoft.com/office/drawing/2014/main" id="{66CF93C0-A00A-485B-9B9E-BDA06B19A5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0"/>
            </a:ext>
          </a:extLst>
        </a:blip>
        <a:stretch>
          <a:fillRect/>
        </a:stretch>
      </xdr:blipFill>
      <xdr:spPr>
        <a:xfrm>
          <a:off x="24384000" y="381000"/>
          <a:ext cx="304800" cy="304800"/>
        </a:xfrm>
        <a:prstGeom prst="rect">
          <a:avLst/>
        </a:prstGeom>
      </xdr:spPr>
    </xdr:pic>
    <xdr:clientData/>
  </xdr:oneCellAnchor>
  <xdr:oneCellAnchor>
    <xdr:from>
      <xdr:col>40</xdr:col>
      <xdr:colOff>247218</xdr:colOff>
      <xdr:row>2</xdr:row>
      <xdr:rowOff>59304</xdr:rowOff>
    </xdr:from>
    <xdr:ext cx="309755" cy="309755"/>
    <xdr:pic>
      <xdr:nvPicPr>
        <xdr:cNvPr id="27" name="Graphic 26" descr="Puzzle pieces">
          <a:extLst>
            <a:ext uri="{FF2B5EF4-FFF2-40B4-BE49-F238E27FC236}">
              <a16:creationId xmlns:a16="http://schemas.microsoft.com/office/drawing/2014/main" id="{0911169C-E043-414C-913C-31E34023BE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0"/>
            </a:ext>
          </a:extLst>
        </a:blip>
        <a:stretch>
          <a:fillRect/>
        </a:stretch>
      </xdr:blipFill>
      <xdr:spPr>
        <a:xfrm rot="16807958">
          <a:off x="24631218" y="440304"/>
          <a:ext cx="309755" cy="309755"/>
        </a:xfrm>
        <a:prstGeom prst="rect">
          <a:avLst/>
        </a:prstGeom>
      </xdr:spPr>
    </xdr:pic>
    <xdr:clientData/>
  </xdr:oneCellAnchor>
  <xdr:oneCellAnchor>
    <xdr:from>
      <xdr:col>40</xdr:col>
      <xdr:colOff>106680</xdr:colOff>
      <xdr:row>2</xdr:row>
      <xdr:rowOff>246426</xdr:rowOff>
    </xdr:from>
    <xdr:ext cx="224358" cy="224358"/>
    <xdr:pic>
      <xdr:nvPicPr>
        <xdr:cNvPr id="28" name="Graphic 27" descr="Puzzle pieces">
          <a:extLst>
            <a:ext uri="{FF2B5EF4-FFF2-40B4-BE49-F238E27FC236}">
              <a16:creationId xmlns:a16="http://schemas.microsoft.com/office/drawing/2014/main" id="{CD67CB8C-98C4-4E2A-8A03-F35E9E84AA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0"/>
            </a:ext>
          </a:extLst>
        </a:blip>
        <a:stretch>
          <a:fillRect/>
        </a:stretch>
      </xdr:blipFill>
      <xdr:spPr>
        <a:xfrm>
          <a:off x="24490680" y="570276"/>
          <a:ext cx="224358" cy="224358"/>
        </a:xfrm>
        <a:prstGeom prst="rect">
          <a:avLst/>
        </a:prstGeom>
      </xdr:spPr>
    </xdr:pic>
    <xdr:clientData/>
  </xdr:oneCellAnchor>
  <xdr:oneCellAnchor>
    <xdr:from>
      <xdr:col>41</xdr:col>
      <xdr:colOff>0</xdr:colOff>
      <xdr:row>2</xdr:row>
      <xdr:rowOff>0</xdr:rowOff>
    </xdr:from>
    <xdr:ext cx="304800" cy="304800"/>
    <xdr:pic>
      <xdr:nvPicPr>
        <xdr:cNvPr id="29" name="Graphic 28" descr="Puzzle pieces">
          <a:extLst>
            <a:ext uri="{FF2B5EF4-FFF2-40B4-BE49-F238E27FC236}">
              <a16:creationId xmlns:a16="http://schemas.microsoft.com/office/drawing/2014/main" id="{7AABFB68-2921-4D4A-8FAA-0CD33B2C0B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3"/>
            </a:ext>
          </a:extLst>
        </a:blip>
        <a:stretch>
          <a:fillRect/>
        </a:stretch>
      </xdr:blipFill>
      <xdr:spPr>
        <a:xfrm>
          <a:off x="24993600" y="381000"/>
          <a:ext cx="304800" cy="304800"/>
        </a:xfrm>
        <a:prstGeom prst="rect">
          <a:avLst/>
        </a:prstGeom>
      </xdr:spPr>
    </xdr:pic>
    <xdr:clientData/>
  </xdr:oneCellAnchor>
  <xdr:oneCellAnchor>
    <xdr:from>
      <xdr:col>41</xdr:col>
      <xdr:colOff>247218</xdr:colOff>
      <xdr:row>2</xdr:row>
      <xdr:rowOff>59304</xdr:rowOff>
    </xdr:from>
    <xdr:ext cx="309755" cy="309755"/>
    <xdr:pic>
      <xdr:nvPicPr>
        <xdr:cNvPr id="30" name="Graphic 29" descr="Puzzle pieces">
          <a:extLst>
            <a:ext uri="{FF2B5EF4-FFF2-40B4-BE49-F238E27FC236}">
              <a16:creationId xmlns:a16="http://schemas.microsoft.com/office/drawing/2014/main" id="{31E041F1-3440-4465-A463-A3D2EAA123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3"/>
            </a:ext>
          </a:extLst>
        </a:blip>
        <a:stretch>
          <a:fillRect/>
        </a:stretch>
      </xdr:blipFill>
      <xdr:spPr>
        <a:xfrm rot="16807958">
          <a:off x="25240818" y="440304"/>
          <a:ext cx="309755" cy="309755"/>
        </a:xfrm>
        <a:prstGeom prst="rect">
          <a:avLst/>
        </a:prstGeom>
      </xdr:spPr>
    </xdr:pic>
    <xdr:clientData/>
  </xdr:oneCellAnchor>
  <xdr:oneCellAnchor>
    <xdr:from>
      <xdr:col>41</xdr:col>
      <xdr:colOff>106680</xdr:colOff>
      <xdr:row>2</xdr:row>
      <xdr:rowOff>246426</xdr:rowOff>
    </xdr:from>
    <xdr:ext cx="224358" cy="224358"/>
    <xdr:pic>
      <xdr:nvPicPr>
        <xdr:cNvPr id="31" name="Graphic 30" descr="Puzzle pieces">
          <a:extLst>
            <a:ext uri="{FF2B5EF4-FFF2-40B4-BE49-F238E27FC236}">
              <a16:creationId xmlns:a16="http://schemas.microsoft.com/office/drawing/2014/main" id="{ED2B6FDC-903D-4B56-B993-1FDA9E7EB2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3"/>
            </a:ext>
          </a:extLst>
        </a:blip>
        <a:stretch>
          <a:fillRect/>
        </a:stretch>
      </xdr:blipFill>
      <xdr:spPr>
        <a:xfrm>
          <a:off x="25100280" y="570276"/>
          <a:ext cx="224358" cy="224358"/>
        </a:xfrm>
        <a:prstGeom prst="rect">
          <a:avLst/>
        </a:prstGeom>
      </xdr:spPr>
    </xdr:pic>
    <xdr:clientData/>
  </xdr:oneCellAnchor>
  <xdr:oneCellAnchor>
    <xdr:from>
      <xdr:col>57</xdr:col>
      <xdr:colOff>76200</xdr:colOff>
      <xdr:row>1</xdr:row>
      <xdr:rowOff>571500</xdr:rowOff>
    </xdr:from>
    <xdr:ext cx="495300" cy="495300"/>
    <xdr:pic>
      <xdr:nvPicPr>
        <xdr:cNvPr id="32" name="Graphic 31" descr="Dump truck">
          <a:extLst>
            <a:ext uri="{FF2B5EF4-FFF2-40B4-BE49-F238E27FC236}">
              <a16:creationId xmlns:a16="http://schemas.microsoft.com/office/drawing/2014/main" id="{56AEB3A0-AFC9-4082-A51F-8423D90243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5"/>
            </a:ext>
          </a:extLst>
        </a:blip>
        <a:stretch>
          <a:fillRect/>
        </a:stretch>
      </xdr:blipFill>
      <xdr:spPr>
        <a:xfrm>
          <a:off x="34823400" y="381000"/>
          <a:ext cx="495300" cy="495300"/>
        </a:xfrm>
        <a:prstGeom prst="rect">
          <a:avLst/>
        </a:prstGeom>
      </xdr:spPr>
    </xdr:pic>
    <xdr:clientData/>
  </xdr:oneCellAnchor>
  <xdr:oneCellAnchor>
    <xdr:from>
      <xdr:col>58</xdr:col>
      <xdr:colOff>91440</xdr:colOff>
      <xdr:row>2</xdr:row>
      <xdr:rowOff>38100</xdr:rowOff>
    </xdr:from>
    <xdr:ext cx="495300" cy="495300"/>
    <xdr:pic>
      <xdr:nvPicPr>
        <xdr:cNvPr id="33" name="Graphic 32" descr="Dump truck">
          <a:extLst>
            <a:ext uri="{FF2B5EF4-FFF2-40B4-BE49-F238E27FC236}">
              <a16:creationId xmlns:a16="http://schemas.microsoft.com/office/drawing/2014/main" id="{CBC95AA8-B158-4858-A5CA-53902184CD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7"/>
            </a:ext>
          </a:extLst>
        </a:blip>
        <a:stretch>
          <a:fillRect/>
        </a:stretch>
      </xdr:blipFill>
      <xdr:spPr>
        <a:xfrm>
          <a:off x="35448240" y="419100"/>
          <a:ext cx="495300" cy="495300"/>
        </a:xfrm>
        <a:prstGeom prst="rect">
          <a:avLst/>
        </a:prstGeom>
      </xdr:spPr>
    </xdr:pic>
    <xdr:clientData/>
  </xdr:oneCellAnchor>
  <xdr:oneCellAnchor>
    <xdr:from>
      <xdr:col>59</xdr:col>
      <xdr:colOff>83820</xdr:colOff>
      <xdr:row>2</xdr:row>
      <xdr:rowOff>7620</xdr:rowOff>
    </xdr:from>
    <xdr:ext cx="495300" cy="495300"/>
    <xdr:pic>
      <xdr:nvPicPr>
        <xdr:cNvPr id="34" name="Graphic 33" descr="Dump truck">
          <a:extLst>
            <a:ext uri="{FF2B5EF4-FFF2-40B4-BE49-F238E27FC236}">
              <a16:creationId xmlns:a16="http://schemas.microsoft.com/office/drawing/2014/main" id="{DC28D394-DAFD-4C06-ABC4-4837FF26D0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9"/>
            </a:ext>
          </a:extLst>
        </a:blip>
        <a:stretch>
          <a:fillRect/>
        </a:stretch>
      </xdr:blipFill>
      <xdr:spPr>
        <a:xfrm>
          <a:off x="36050220" y="388620"/>
          <a:ext cx="495300" cy="495300"/>
        </a:xfrm>
        <a:prstGeom prst="rect">
          <a:avLst/>
        </a:prstGeom>
      </xdr:spPr>
    </xdr:pic>
    <xdr:clientData/>
  </xdr:oneCellAnchor>
  <xdr:oneCellAnchor>
    <xdr:from>
      <xdr:col>61</xdr:col>
      <xdr:colOff>53340</xdr:colOff>
      <xdr:row>2</xdr:row>
      <xdr:rowOff>38100</xdr:rowOff>
    </xdr:from>
    <xdr:ext cx="525780" cy="525780"/>
    <xdr:pic>
      <xdr:nvPicPr>
        <xdr:cNvPr id="35" name="Graphic 34" descr="Cement truck">
          <a:extLst>
            <a:ext uri="{FF2B5EF4-FFF2-40B4-BE49-F238E27FC236}">
              <a16:creationId xmlns:a16="http://schemas.microsoft.com/office/drawing/2014/main" id="{21F8D68D-78D9-49A8-BF29-6AB6655B53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1"/>
            </a:ext>
          </a:extLst>
        </a:blip>
        <a:stretch>
          <a:fillRect/>
        </a:stretch>
      </xdr:blipFill>
      <xdr:spPr>
        <a:xfrm>
          <a:off x="37238940" y="419100"/>
          <a:ext cx="525780" cy="525780"/>
        </a:xfrm>
        <a:prstGeom prst="rect">
          <a:avLst/>
        </a:prstGeom>
      </xdr:spPr>
    </xdr:pic>
    <xdr:clientData/>
  </xdr:oneCellAnchor>
  <xdr:oneCellAnchor>
    <xdr:from>
      <xdr:col>62</xdr:col>
      <xdr:colOff>53340</xdr:colOff>
      <xdr:row>2</xdr:row>
      <xdr:rowOff>15240</xdr:rowOff>
    </xdr:from>
    <xdr:ext cx="525780" cy="525780"/>
    <xdr:pic>
      <xdr:nvPicPr>
        <xdr:cNvPr id="36" name="Graphic 35" descr="Cement truck">
          <a:extLst>
            <a:ext uri="{FF2B5EF4-FFF2-40B4-BE49-F238E27FC236}">
              <a16:creationId xmlns:a16="http://schemas.microsoft.com/office/drawing/2014/main" id="{BAE63443-F444-4659-AB4B-5AE2676ACB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3"/>
            </a:ext>
          </a:extLst>
        </a:blip>
        <a:stretch>
          <a:fillRect/>
        </a:stretch>
      </xdr:blipFill>
      <xdr:spPr>
        <a:xfrm>
          <a:off x="37848540" y="396240"/>
          <a:ext cx="525780" cy="525780"/>
        </a:xfrm>
        <a:prstGeom prst="rect">
          <a:avLst/>
        </a:prstGeom>
      </xdr:spPr>
    </xdr:pic>
    <xdr:clientData/>
  </xdr:oneCellAnchor>
  <xdr:oneCellAnchor>
    <xdr:from>
      <xdr:col>63</xdr:col>
      <xdr:colOff>68580</xdr:colOff>
      <xdr:row>2</xdr:row>
      <xdr:rowOff>0</xdr:rowOff>
    </xdr:from>
    <xdr:ext cx="525780" cy="525780"/>
    <xdr:pic>
      <xdr:nvPicPr>
        <xdr:cNvPr id="37" name="Graphic 36" descr="Cement truck">
          <a:extLst>
            <a:ext uri="{FF2B5EF4-FFF2-40B4-BE49-F238E27FC236}">
              <a16:creationId xmlns:a16="http://schemas.microsoft.com/office/drawing/2014/main" id="{686C717E-FF34-4AE4-8E35-7C313E9A98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5"/>
            </a:ext>
          </a:extLst>
        </a:blip>
        <a:stretch>
          <a:fillRect/>
        </a:stretch>
      </xdr:blipFill>
      <xdr:spPr>
        <a:xfrm>
          <a:off x="38473380" y="381000"/>
          <a:ext cx="525780" cy="525780"/>
        </a:xfrm>
        <a:prstGeom prst="rect">
          <a:avLst/>
        </a:prstGeom>
      </xdr:spPr>
    </xdr:pic>
    <xdr:clientData/>
  </xdr:oneCellAnchor>
  <xdr:oneCellAnchor>
    <xdr:from>
      <xdr:col>18</xdr:col>
      <xdr:colOff>0</xdr:colOff>
      <xdr:row>2</xdr:row>
      <xdr:rowOff>0</xdr:rowOff>
    </xdr:from>
    <xdr:ext cx="525780" cy="525780"/>
    <xdr:pic>
      <xdr:nvPicPr>
        <xdr:cNvPr id="38" name="Graphic 37" descr="Magnet">
          <a:extLst>
            <a:ext uri="{FF2B5EF4-FFF2-40B4-BE49-F238E27FC236}">
              <a16:creationId xmlns:a16="http://schemas.microsoft.com/office/drawing/2014/main" id="{C9DE8EE6-99BA-441F-A331-2E873949E5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10972800" y="381000"/>
          <a:ext cx="525780" cy="525780"/>
        </a:xfrm>
        <a:prstGeom prst="rect">
          <a:avLst/>
        </a:prstGeom>
      </xdr:spPr>
    </xdr:pic>
    <xdr:clientData/>
  </xdr:oneCellAnchor>
  <xdr:oneCellAnchor>
    <xdr:from>
      <xdr:col>18</xdr:col>
      <xdr:colOff>281940</xdr:colOff>
      <xdr:row>2</xdr:row>
      <xdr:rowOff>281940</xdr:rowOff>
    </xdr:from>
    <xdr:ext cx="297180" cy="289560"/>
    <xdr:pic>
      <xdr:nvPicPr>
        <xdr:cNvPr id="39" name="Graphic 38" descr="Water">
          <a:extLst>
            <a:ext uri="{FF2B5EF4-FFF2-40B4-BE49-F238E27FC236}">
              <a16:creationId xmlns:a16="http://schemas.microsoft.com/office/drawing/2014/main" id="{11FD2C9E-63AB-43A9-99EA-5F43C70405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7"/>
            </a:ext>
          </a:extLst>
        </a:blip>
        <a:stretch>
          <a:fillRect/>
        </a:stretch>
      </xdr:blipFill>
      <xdr:spPr>
        <a:xfrm>
          <a:off x="11254740" y="567690"/>
          <a:ext cx="297180" cy="289560"/>
        </a:xfrm>
        <a:prstGeom prst="rect">
          <a:avLst/>
        </a:prstGeom>
      </xdr:spPr>
    </xdr:pic>
    <xdr:clientData/>
  </xdr:oneCellAnchor>
  <xdr:oneCellAnchor>
    <xdr:from>
      <xdr:col>19</xdr:col>
      <xdr:colOff>0</xdr:colOff>
      <xdr:row>2</xdr:row>
      <xdr:rowOff>0</xdr:rowOff>
    </xdr:from>
    <xdr:ext cx="525780" cy="525780"/>
    <xdr:pic>
      <xdr:nvPicPr>
        <xdr:cNvPr id="40" name="Graphic 39" descr="Magnet">
          <a:extLst>
            <a:ext uri="{FF2B5EF4-FFF2-40B4-BE49-F238E27FC236}">
              <a16:creationId xmlns:a16="http://schemas.microsoft.com/office/drawing/2014/main" id="{AAD70271-8385-41A3-8EB4-9C3EA03AC3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1582400" y="381000"/>
          <a:ext cx="525780" cy="525780"/>
        </a:xfrm>
        <a:prstGeom prst="rect">
          <a:avLst/>
        </a:prstGeom>
      </xdr:spPr>
    </xdr:pic>
    <xdr:clientData/>
  </xdr:oneCellAnchor>
  <xdr:oneCellAnchor>
    <xdr:from>
      <xdr:col>19</xdr:col>
      <xdr:colOff>281940</xdr:colOff>
      <xdr:row>2</xdr:row>
      <xdr:rowOff>281940</xdr:rowOff>
    </xdr:from>
    <xdr:ext cx="297180" cy="289560"/>
    <xdr:pic>
      <xdr:nvPicPr>
        <xdr:cNvPr id="41" name="Graphic 40" descr="Water">
          <a:extLst>
            <a:ext uri="{FF2B5EF4-FFF2-40B4-BE49-F238E27FC236}">
              <a16:creationId xmlns:a16="http://schemas.microsoft.com/office/drawing/2014/main" id="{8C9CAFDA-C3F8-44DC-8D61-BFB5F4D2C2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9"/>
            </a:ext>
          </a:extLst>
        </a:blip>
        <a:stretch>
          <a:fillRect/>
        </a:stretch>
      </xdr:blipFill>
      <xdr:spPr>
        <a:xfrm>
          <a:off x="11864340" y="567690"/>
          <a:ext cx="297180" cy="289560"/>
        </a:xfrm>
        <a:prstGeom prst="rect">
          <a:avLst/>
        </a:prstGeom>
      </xdr:spPr>
    </xdr:pic>
    <xdr:clientData/>
  </xdr:oneCellAnchor>
  <xdr:oneCellAnchor>
    <xdr:from>
      <xdr:col>20</xdr:col>
      <xdr:colOff>0</xdr:colOff>
      <xdr:row>2</xdr:row>
      <xdr:rowOff>0</xdr:rowOff>
    </xdr:from>
    <xdr:ext cx="525780" cy="525780"/>
    <xdr:pic>
      <xdr:nvPicPr>
        <xdr:cNvPr id="42" name="Graphic 41" descr="Magnet">
          <a:extLst>
            <a:ext uri="{FF2B5EF4-FFF2-40B4-BE49-F238E27FC236}">
              <a16:creationId xmlns:a16="http://schemas.microsoft.com/office/drawing/2014/main" id="{47A7D673-90BE-4D1E-9ED3-1183FAB925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12192000" y="381000"/>
          <a:ext cx="525780" cy="525780"/>
        </a:xfrm>
        <a:prstGeom prst="rect">
          <a:avLst/>
        </a:prstGeom>
      </xdr:spPr>
    </xdr:pic>
    <xdr:clientData/>
  </xdr:oneCellAnchor>
  <xdr:oneCellAnchor>
    <xdr:from>
      <xdr:col>20</xdr:col>
      <xdr:colOff>281940</xdr:colOff>
      <xdr:row>2</xdr:row>
      <xdr:rowOff>281940</xdr:rowOff>
    </xdr:from>
    <xdr:ext cx="297180" cy="289560"/>
    <xdr:pic>
      <xdr:nvPicPr>
        <xdr:cNvPr id="43" name="Graphic 42" descr="Water">
          <a:extLst>
            <a:ext uri="{FF2B5EF4-FFF2-40B4-BE49-F238E27FC236}">
              <a16:creationId xmlns:a16="http://schemas.microsoft.com/office/drawing/2014/main" id="{06F1168A-C707-42B1-B336-1433A08A2C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1"/>
            </a:ext>
          </a:extLst>
        </a:blip>
        <a:stretch>
          <a:fillRect/>
        </a:stretch>
      </xdr:blipFill>
      <xdr:spPr>
        <a:xfrm>
          <a:off x="12473940" y="567690"/>
          <a:ext cx="297180" cy="289560"/>
        </a:xfrm>
        <a:prstGeom prst="rect">
          <a:avLst/>
        </a:prstGeom>
      </xdr:spPr>
    </xdr:pic>
    <xdr:clientData/>
  </xdr:oneCellAnchor>
  <xdr:oneCellAnchor>
    <xdr:from>
      <xdr:col>22</xdr:col>
      <xdr:colOff>304799</xdr:colOff>
      <xdr:row>2</xdr:row>
      <xdr:rowOff>243840</xdr:rowOff>
    </xdr:from>
    <xdr:ext cx="251459" cy="251459"/>
    <xdr:pic>
      <xdr:nvPicPr>
        <xdr:cNvPr id="44" name="Picture 43">
          <a:extLst>
            <a:ext uri="{FF2B5EF4-FFF2-40B4-BE49-F238E27FC236}">
              <a16:creationId xmlns:a16="http://schemas.microsoft.com/office/drawing/2014/main" id="{D4A7A49A-554E-4E2E-A959-19E97E8BC3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8884257">
          <a:off x="13715999" y="567690"/>
          <a:ext cx="251459" cy="251459"/>
        </a:xfrm>
        <a:prstGeom prst="rect">
          <a:avLst/>
        </a:prstGeom>
        <a:effectLst>
          <a:outerShdw blurRad="50800" dist="50800" dir="5400000" algn="ctr" rotWithShape="0">
            <a:schemeClr val="accent6"/>
          </a:outerShdw>
        </a:effectLst>
      </xdr:spPr>
    </xdr:pic>
    <xdr:clientData/>
  </xdr:oneCellAnchor>
  <xdr:oneCellAnchor>
    <xdr:from>
      <xdr:col>23</xdr:col>
      <xdr:colOff>304799</xdr:colOff>
      <xdr:row>2</xdr:row>
      <xdr:rowOff>243840</xdr:rowOff>
    </xdr:from>
    <xdr:ext cx="251459" cy="251459"/>
    <xdr:pic>
      <xdr:nvPicPr>
        <xdr:cNvPr id="45" name="Picture 44">
          <a:extLst>
            <a:ext uri="{FF2B5EF4-FFF2-40B4-BE49-F238E27FC236}">
              <a16:creationId xmlns:a16="http://schemas.microsoft.com/office/drawing/2014/main" id="{6D7F7727-4062-49E3-9767-C8AFCE33CD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8884257">
          <a:off x="14325599" y="567690"/>
          <a:ext cx="251459" cy="251459"/>
        </a:xfrm>
        <a:prstGeom prst="rect">
          <a:avLst/>
        </a:prstGeom>
        <a:effectLst>
          <a:outerShdw blurRad="50800" dist="50800" dir="5400000" algn="ctr" rotWithShape="0">
            <a:schemeClr val="accent2"/>
          </a:outerShdw>
        </a:effectLst>
      </xdr:spPr>
    </xdr:pic>
    <xdr:clientData/>
  </xdr:oneCellAnchor>
  <xdr:oneCellAnchor>
    <xdr:from>
      <xdr:col>22</xdr:col>
      <xdr:colOff>304799</xdr:colOff>
      <xdr:row>2</xdr:row>
      <xdr:rowOff>243840</xdr:rowOff>
    </xdr:from>
    <xdr:ext cx="251459" cy="251459"/>
    <xdr:pic>
      <xdr:nvPicPr>
        <xdr:cNvPr id="46" name="Picture 45">
          <a:extLst>
            <a:ext uri="{FF2B5EF4-FFF2-40B4-BE49-F238E27FC236}">
              <a16:creationId xmlns:a16="http://schemas.microsoft.com/office/drawing/2014/main" id="{0279888F-33A1-4A45-9B3A-B403C88D22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8884257">
          <a:off x="13715999" y="567690"/>
          <a:ext cx="251459" cy="251459"/>
        </a:xfrm>
        <a:prstGeom prst="rect">
          <a:avLst/>
        </a:prstGeom>
        <a:effectLst>
          <a:outerShdw blurRad="50800" dist="50800" dir="5400000" algn="ctr" rotWithShape="0">
            <a:schemeClr val="accent6"/>
          </a:outerShdw>
        </a:effectLst>
      </xdr:spPr>
    </xdr:pic>
    <xdr:clientData/>
  </xdr:oneCellAnchor>
  <xdr:oneCellAnchor>
    <xdr:from>
      <xdr:col>24</xdr:col>
      <xdr:colOff>304799</xdr:colOff>
      <xdr:row>2</xdr:row>
      <xdr:rowOff>243840</xdr:rowOff>
    </xdr:from>
    <xdr:ext cx="251459" cy="251459"/>
    <xdr:pic>
      <xdr:nvPicPr>
        <xdr:cNvPr id="47" name="Picture 46">
          <a:extLst>
            <a:ext uri="{FF2B5EF4-FFF2-40B4-BE49-F238E27FC236}">
              <a16:creationId xmlns:a16="http://schemas.microsoft.com/office/drawing/2014/main" id="{6F28769C-2D70-4A18-A659-A61F260378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8884257">
          <a:off x="14935199" y="567690"/>
          <a:ext cx="251459" cy="251459"/>
        </a:xfrm>
        <a:prstGeom prst="rect">
          <a:avLst/>
        </a:prstGeom>
        <a:effectLst>
          <a:outerShdw blurRad="50800" dist="50800" dir="5400000" algn="ctr" rotWithShape="0">
            <a:srgbClr val="FF0000"/>
          </a:outerShdw>
        </a:effectLst>
      </xdr:spPr>
    </xdr:pic>
    <xdr:clientData/>
  </xdr:oneCellAnchor>
  <xdr:oneCellAnchor>
    <xdr:from>
      <xdr:col>12</xdr:col>
      <xdr:colOff>0</xdr:colOff>
      <xdr:row>2</xdr:row>
      <xdr:rowOff>0</xdr:rowOff>
    </xdr:from>
    <xdr:ext cx="449580" cy="449580"/>
    <xdr:pic>
      <xdr:nvPicPr>
        <xdr:cNvPr id="200" name="Graphic 199" descr="Sink">
          <a:extLst>
            <a:ext uri="{FF2B5EF4-FFF2-40B4-BE49-F238E27FC236}">
              <a16:creationId xmlns:a16="http://schemas.microsoft.com/office/drawing/2014/main" id="{17283DBE-B569-4B80-9051-63F583DD58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6353175" y="542925"/>
          <a:ext cx="449580" cy="449580"/>
        </a:xfrm>
        <a:prstGeom prst="rect">
          <a:avLst/>
        </a:prstGeom>
        <a:effectLst>
          <a:outerShdw blurRad="50800" dist="50800" dir="5400000" algn="ctr" rotWithShape="0">
            <a:srgbClr val="FF0000"/>
          </a:outerShdw>
        </a:effectLst>
      </xdr:spPr>
    </xdr:pic>
    <xdr:clientData/>
  </xdr:oneCellAnchor>
  <xdr:oneCellAnchor>
    <xdr:from>
      <xdr:col>12</xdr:col>
      <xdr:colOff>323850</xdr:colOff>
      <xdr:row>2</xdr:row>
      <xdr:rowOff>236220</xdr:rowOff>
    </xdr:from>
    <xdr:ext cx="251459" cy="251459"/>
    <xdr:pic>
      <xdr:nvPicPr>
        <xdr:cNvPr id="201" name="Picture 200">
          <a:extLst>
            <a:ext uri="{FF2B5EF4-FFF2-40B4-BE49-F238E27FC236}">
              <a16:creationId xmlns:a16="http://schemas.microsoft.com/office/drawing/2014/main" id="{1CB7ACF4-1C2B-45AC-9E57-21C6DD9613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77025" y="779145"/>
          <a:ext cx="251459" cy="251459"/>
        </a:xfrm>
        <a:prstGeom prst="rect">
          <a:avLst/>
        </a:prstGeom>
        <a:effectLst>
          <a:outerShdw blurRad="50800" dist="50800" dir="5400000" algn="ctr" rotWithShape="0">
            <a:srgbClr val="FF0000"/>
          </a:outerShdw>
        </a:effectLst>
      </xdr:spPr>
    </xdr:pic>
    <xdr:clientData/>
  </xdr:oneCellAnchor>
  <xdr:twoCellAnchor editAs="oneCell">
    <xdr:from>
      <xdr:col>2</xdr:col>
      <xdr:colOff>47626</xdr:colOff>
      <xdr:row>3</xdr:row>
      <xdr:rowOff>1</xdr:rowOff>
    </xdr:from>
    <xdr:to>
      <xdr:col>2</xdr:col>
      <xdr:colOff>581026</xdr:colOff>
      <xdr:row>4</xdr:row>
      <xdr:rowOff>5455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FDEC4978-2797-7480-3577-3A540953E9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1266826" y="1114426"/>
          <a:ext cx="533400" cy="538854"/>
        </a:xfrm>
        <a:prstGeom prst="rect">
          <a:avLst/>
        </a:prstGeom>
      </xdr:spPr>
    </xdr:pic>
    <xdr:clientData/>
  </xdr:twoCellAnchor>
  <xdr:twoCellAnchor editAs="oneCell">
    <xdr:from>
      <xdr:col>3</xdr:col>
      <xdr:colOff>19050</xdr:colOff>
      <xdr:row>3</xdr:row>
      <xdr:rowOff>0</xdr:rowOff>
    </xdr:from>
    <xdr:to>
      <xdr:col>3</xdr:col>
      <xdr:colOff>552450</xdr:colOff>
      <xdr:row>4</xdr:row>
      <xdr:rowOff>5454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A5FA08AF-3922-4DE1-98E1-4AE71D392A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1847850" y="1114425"/>
          <a:ext cx="533400" cy="538854"/>
        </a:xfrm>
        <a:prstGeom prst="rect">
          <a:avLst/>
        </a:prstGeom>
      </xdr:spPr>
    </xdr:pic>
    <xdr:clientData/>
  </xdr:twoCellAnchor>
  <xdr:twoCellAnchor editAs="oneCell">
    <xdr:from>
      <xdr:col>4</xdr:col>
      <xdr:colOff>19050</xdr:colOff>
      <xdr:row>3</xdr:row>
      <xdr:rowOff>0</xdr:rowOff>
    </xdr:from>
    <xdr:to>
      <xdr:col>4</xdr:col>
      <xdr:colOff>552450</xdr:colOff>
      <xdr:row>4</xdr:row>
      <xdr:rowOff>5454</xdr:rowOff>
    </xdr:to>
    <xdr:pic>
      <xdr:nvPicPr>
        <xdr:cNvPr id="48" name="Picture 47">
          <a:extLst>
            <a:ext uri="{FF2B5EF4-FFF2-40B4-BE49-F238E27FC236}">
              <a16:creationId xmlns:a16="http://schemas.microsoft.com/office/drawing/2014/main" id="{2A154354-A05F-4157-B1C6-5729D6F7BE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2457450" y="1114425"/>
          <a:ext cx="533400" cy="538854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3</xdr:row>
      <xdr:rowOff>0</xdr:rowOff>
    </xdr:from>
    <xdr:to>
      <xdr:col>6</xdr:col>
      <xdr:colOff>533400</xdr:colOff>
      <xdr:row>4</xdr:row>
      <xdr:rowOff>5454</xdr:rowOff>
    </xdr:to>
    <xdr:pic>
      <xdr:nvPicPr>
        <xdr:cNvPr id="49" name="Picture 48">
          <a:extLst>
            <a:ext uri="{FF2B5EF4-FFF2-40B4-BE49-F238E27FC236}">
              <a16:creationId xmlns:a16="http://schemas.microsoft.com/office/drawing/2014/main" id="{217DA551-BB68-4AD5-93D5-0BE527B10D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3181350" y="1114425"/>
          <a:ext cx="533400" cy="538854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3</xdr:row>
      <xdr:rowOff>0</xdr:rowOff>
    </xdr:from>
    <xdr:to>
      <xdr:col>8</xdr:col>
      <xdr:colOff>533400</xdr:colOff>
      <xdr:row>4</xdr:row>
      <xdr:rowOff>5454</xdr:rowOff>
    </xdr:to>
    <xdr:pic>
      <xdr:nvPicPr>
        <xdr:cNvPr id="50" name="Picture 49">
          <a:extLst>
            <a:ext uri="{FF2B5EF4-FFF2-40B4-BE49-F238E27FC236}">
              <a16:creationId xmlns:a16="http://schemas.microsoft.com/office/drawing/2014/main" id="{11F002D9-EDF6-4978-9E55-AA58FC0F1D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4400550" y="1114425"/>
          <a:ext cx="533400" cy="538854"/>
        </a:xfrm>
        <a:prstGeom prst="rect">
          <a:avLst/>
        </a:prstGeom>
      </xdr:spPr>
    </xdr:pic>
    <xdr:clientData/>
  </xdr:twoCellAnchor>
  <xdr:twoCellAnchor editAs="oneCell">
    <xdr:from>
      <xdr:col>11</xdr:col>
      <xdr:colOff>0</xdr:colOff>
      <xdr:row>3</xdr:row>
      <xdr:rowOff>0</xdr:rowOff>
    </xdr:from>
    <xdr:to>
      <xdr:col>11</xdr:col>
      <xdr:colOff>533400</xdr:colOff>
      <xdr:row>4</xdr:row>
      <xdr:rowOff>5454</xdr:rowOff>
    </xdr:to>
    <xdr:pic>
      <xdr:nvPicPr>
        <xdr:cNvPr id="51" name="Picture 50">
          <a:extLst>
            <a:ext uri="{FF2B5EF4-FFF2-40B4-BE49-F238E27FC236}">
              <a16:creationId xmlns:a16="http://schemas.microsoft.com/office/drawing/2014/main" id="{DB8D3EC7-F9FB-4A38-9524-F8785E10F3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5743575" y="1114425"/>
          <a:ext cx="533400" cy="538854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3</xdr:row>
      <xdr:rowOff>0</xdr:rowOff>
    </xdr:from>
    <xdr:to>
      <xdr:col>15</xdr:col>
      <xdr:colOff>533400</xdr:colOff>
      <xdr:row>4</xdr:row>
      <xdr:rowOff>5454</xdr:rowOff>
    </xdr:to>
    <xdr:pic>
      <xdr:nvPicPr>
        <xdr:cNvPr id="52" name="Picture 51">
          <a:extLst>
            <a:ext uri="{FF2B5EF4-FFF2-40B4-BE49-F238E27FC236}">
              <a16:creationId xmlns:a16="http://schemas.microsoft.com/office/drawing/2014/main" id="{913C9709-F620-45E6-960E-FC5A67EADA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7677150" y="1114425"/>
          <a:ext cx="533400" cy="538854"/>
        </a:xfrm>
        <a:prstGeom prst="rect">
          <a:avLst/>
        </a:prstGeom>
      </xdr:spPr>
    </xdr:pic>
    <xdr:clientData/>
  </xdr:twoCellAnchor>
  <xdr:twoCellAnchor editAs="oneCell">
    <xdr:from>
      <xdr:col>14</xdr:col>
      <xdr:colOff>0</xdr:colOff>
      <xdr:row>3</xdr:row>
      <xdr:rowOff>0</xdr:rowOff>
    </xdr:from>
    <xdr:to>
      <xdr:col>14</xdr:col>
      <xdr:colOff>533400</xdr:colOff>
      <xdr:row>4</xdr:row>
      <xdr:rowOff>5454</xdr:rowOff>
    </xdr:to>
    <xdr:pic>
      <xdr:nvPicPr>
        <xdr:cNvPr id="53" name="Picture 52">
          <a:extLst>
            <a:ext uri="{FF2B5EF4-FFF2-40B4-BE49-F238E27FC236}">
              <a16:creationId xmlns:a16="http://schemas.microsoft.com/office/drawing/2014/main" id="{679F5103-4D7B-462B-A1D4-3FF43F2583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7067550" y="1114425"/>
          <a:ext cx="533400" cy="538854"/>
        </a:xfrm>
        <a:prstGeom prst="rect">
          <a:avLst/>
        </a:prstGeom>
      </xdr:spPr>
    </xdr:pic>
    <xdr:clientData/>
  </xdr:twoCellAnchor>
  <xdr:twoCellAnchor editAs="oneCell">
    <xdr:from>
      <xdr:col>10</xdr:col>
      <xdr:colOff>0</xdr:colOff>
      <xdr:row>3</xdr:row>
      <xdr:rowOff>0</xdr:rowOff>
    </xdr:from>
    <xdr:to>
      <xdr:col>10</xdr:col>
      <xdr:colOff>533400</xdr:colOff>
      <xdr:row>4</xdr:row>
      <xdr:rowOff>5454</xdr:rowOff>
    </xdr:to>
    <xdr:pic>
      <xdr:nvPicPr>
        <xdr:cNvPr id="54" name="Picture 53">
          <a:extLst>
            <a:ext uri="{FF2B5EF4-FFF2-40B4-BE49-F238E27FC236}">
              <a16:creationId xmlns:a16="http://schemas.microsoft.com/office/drawing/2014/main" id="{6A35CABC-0D0E-4E72-B5B2-BC4425FDEC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5133975" y="1114425"/>
          <a:ext cx="533400" cy="538854"/>
        </a:xfrm>
        <a:prstGeom prst="rect">
          <a:avLst/>
        </a:prstGeom>
      </xdr:spPr>
    </xdr:pic>
    <xdr:clientData/>
  </xdr:twoCellAnchor>
  <xdr:twoCellAnchor editAs="oneCell">
    <xdr:from>
      <xdr:col>12</xdr:col>
      <xdr:colOff>0</xdr:colOff>
      <xdr:row>3</xdr:row>
      <xdr:rowOff>0</xdr:rowOff>
    </xdr:from>
    <xdr:to>
      <xdr:col>12</xdr:col>
      <xdr:colOff>533400</xdr:colOff>
      <xdr:row>4</xdr:row>
      <xdr:rowOff>5454</xdr:rowOff>
    </xdr:to>
    <xdr:pic>
      <xdr:nvPicPr>
        <xdr:cNvPr id="55" name="Picture 54">
          <a:extLst>
            <a:ext uri="{FF2B5EF4-FFF2-40B4-BE49-F238E27FC236}">
              <a16:creationId xmlns:a16="http://schemas.microsoft.com/office/drawing/2014/main" id="{B6320EF1-CD00-43BA-90B8-AE7E0C5AC8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6353175" y="1114425"/>
          <a:ext cx="533400" cy="538854"/>
        </a:xfrm>
        <a:prstGeom prst="rect">
          <a:avLst/>
        </a:prstGeom>
      </xdr:spPr>
    </xdr:pic>
    <xdr:clientData/>
  </xdr:twoCellAnchor>
  <xdr:twoCellAnchor editAs="oneCell">
    <xdr:from>
      <xdr:col>16</xdr:col>
      <xdr:colOff>0</xdr:colOff>
      <xdr:row>3</xdr:row>
      <xdr:rowOff>0</xdr:rowOff>
    </xdr:from>
    <xdr:to>
      <xdr:col>16</xdr:col>
      <xdr:colOff>533400</xdr:colOff>
      <xdr:row>4</xdr:row>
      <xdr:rowOff>5454</xdr:rowOff>
    </xdr:to>
    <xdr:pic>
      <xdr:nvPicPr>
        <xdr:cNvPr id="56" name="Picture 55">
          <a:extLst>
            <a:ext uri="{FF2B5EF4-FFF2-40B4-BE49-F238E27FC236}">
              <a16:creationId xmlns:a16="http://schemas.microsoft.com/office/drawing/2014/main" id="{934C7961-DA0E-4040-841F-ABC644E3A7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8286750" y="1114425"/>
          <a:ext cx="533400" cy="538854"/>
        </a:xfrm>
        <a:prstGeom prst="rect">
          <a:avLst/>
        </a:prstGeom>
      </xdr:spPr>
    </xdr:pic>
    <xdr:clientData/>
  </xdr:twoCellAnchor>
  <xdr:twoCellAnchor editAs="oneCell">
    <xdr:from>
      <xdr:col>18</xdr:col>
      <xdr:colOff>0</xdr:colOff>
      <xdr:row>3</xdr:row>
      <xdr:rowOff>0</xdr:rowOff>
    </xdr:from>
    <xdr:to>
      <xdr:col>18</xdr:col>
      <xdr:colOff>533400</xdr:colOff>
      <xdr:row>4</xdr:row>
      <xdr:rowOff>5454</xdr:rowOff>
    </xdr:to>
    <xdr:pic>
      <xdr:nvPicPr>
        <xdr:cNvPr id="57" name="Picture 56">
          <a:extLst>
            <a:ext uri="{FF2B5EF4-FFF2-40B4-BE49-F238E27FC236}">
              <a16:creationId xmlns:a16="http://schemas.microsoft.com/office/drawing/2014/main" id="{EFD01CE1-8BDA-42B1-A236-D00F3B7D4D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9001125" y="1114425"/>
          <a:ext cx="533400" cy="538854"/>
        </a:xfrm>
        <a:prstGeom prst="rect">
          <a:avLst/>
        </a:prstGeom>
      </xdr:spPr>
    </xdr:pic>
    <xdr:clientData/>
  </xdr:twoCellAnchor>
  <xdr:twoCellAnchor editAs="oneCell">
    <xdr:from>
      <xdr:col>19</xdr:col>
      <xdr:colOff>0</xdr:colOff>
      <xdr:row>3</xdr:row>
      <xdr:rowOff>0</xdr:rowOff>
    </xdr:from>
    <xdr:to>
      <xdr:col>19</xdr:col>
      <xdr:colOff>533400</xdr:colOff>
      <xdr:row>4</xdr:row>
      <xdr:rowOff>5454</xdr:rowOff>
    </xdr:to>
    <xdr:pic>
      <xdr:nvPicPr>
        <xdr:cNvPr id="58" name="Picture 57">
          <a:extLst>
            <a:ext uri="{FF2B5EF4-FFF2-40B4-BE49-F238E27FC236}">
              <a16:creationId xmlns:a16="http://schemas.microsoft.com/office/drawing/2014/main" id="{8FDC6F47-4950-40C6-AF6E-FFC3FF9CF3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9610725" y="1114425"/>
          <a:ext cx="533400" cy="538854"/>
        </a:xfrm>
        <a:prstGeom prst="rect">
          <a:avLst/>
        </a:prstGeom>
      </xdr:spPr>
    </xdr:pic>
    <xdr:clientData/>
  </xdr:twoCellAnchor>
  <xdr:twoCellAnchor editAs="oneCell">
    <xdr:from>
      <xdr:col>20</xdr:col>
      <xdr:colOff>0</xdr:colOff>
      <xdr:row>3</xdr:row>
      <xdr:rowOff>0</xdr:rowOff>
    </xdr:from>
    <xdr:to>
      <xdr:col>20</xdr:col>
      <xdr:colOff>533400</xdr:colOff>
      <xdr:row>4</xdr:row>
      <xdr:rowOff>5454</xdr:rowOff>
    </xdr:to>
    <xdr:pic>
      <xdr:nvPicPr>
        <xdr:cNvPr id="59" name="Picture 58">
          <a:extLst>
            <a:ext uri="{FF2B5EF4-FFF2-40B4-BE49-F238E27FC236}">
              <a16:creationId xmlns:a16="http://schemas.microsoft.com/office/drawing/2014/main" id="{DDF91AF8-5EF3-4951-9A40-FEF5AFDAAF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10220325" y="1114425"/>
          <a:ext cx="533400" cy="538854"/>
        </a:xfrm>
        <a:prstGeom prst="rect">
          <a:avLst/>
        </a:prstGeom>
      </xdr:spPr>
    </xdr:pic>
    <xdr:clientData/>
  </xdr:twoCellAnchor>
  <xdr:twoCellAnchor editAs="oneCell">
    <xdr:from>
      <xdr:col>22</xdr:col>
      <xdr:colOff>0</xdr:colOff>
      <xdr:row>3</xdr:row>
      <xdr:rowOff>0</xdr:rowOff>
    </xdr:from>
    <xdr:to>
      <xdr:col>22</xdr:col>
      <xdr:colOff>533400</xdr:colOff>
      <xdr:row>4</xdr:row>
      <xdr:rowOff>5454</xdr:rowOff>
    </xdr:to>
    <xdr:pic>
      <xdr:nvPicPr>
        <xdr:cNvPr id="60" name="Picture 59">
          <a:extLst>
            <a:ext uri="{FF2B5EF4-FFF2-40B4-BE49-F238E27FC236}">
              <a16:creationId xmlns:a16="http://schemas.microsoft.com/office/drawing/2014/main" id="{8001337C-D6D8-4898-9AD6-099D25C13D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10963275" y="1114425"/>
          <a:ext cx="533400" cy="538854"/>
        </a:xfrm>
        <a:prstGeom prst="rect">
          <a:avLst/>
        </a:prstGeom>
      </xdr:spPr>
    </xdr:pic>
    <xdr:clientData/>
  </xdr:twoCellAnchor>
  <xdr:twoCellAnchor editAs="oneCell">
    <xdr:from>
      <xdr:col>23</xdr:col>
      <xdr:colOff>0</xdr:colOff>
      <xdr:row>3</xdr:row>
      <xdr:rowOff>0</xdr:rowOff>
    </xdr:from>
    <xdr:to>
      <xdr:col>23</xdr:col>
      <xdr:colOff>533400</xdr:colOff>
      <xdr:row>4</xdr:row>
      <xdr:rowOff>5454</xdr:rowOff>
    </xdr:to>
    <xdr:pic>
      <xdr:nvPicPr>
        <xdr:cNvPr id="61" name="Picture 60">
          <a:extLst>
            <a:ext uri="{FF2B5EF4-FFF2-40B4-BE49-F238E27FC236}">
              <a16:creationId xmlns:a16="http://schemas.microsoft.com/office/drawing/2014/main" id="{84ADA271-161B-407A-ACC0-BBCFB2A902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11572875" y="1114425"/>
          <a:ext cx="533400" cy="538854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500063</xdr:colOff>
      <xdr:row>0</xdr:row>
      <xdr:rowOff>28575</xdr:rowOff>
    </xdr:from>
    <xdr:to>
      <xdr:col>9</xdr:col>
      <xdr:colOff>595968</xdr:colOff>
      <xdr:row>2</xdr:row>
      <xdr:rowOff>131867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1461ED7A-3D50-4231-9CCF-C131957B95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76863" y="28575"/>
          <a:ext cx="705505" cy="484292"/>
        </a:xfrm>
        <a:prstGeom prst="rect">
          <a:avLst/>
        </a:prstGeom>
      </xdr:spPr>
    </xdr:pic>
    <xdr:clientData/>
  </xdr:twoCellAnchor>
  <xdr:oneCellAnchor>
    <xdr:from>
      <xdr:col>8</xdr:col>
      <xdr:colOff>500063</xdr:colOff>
      <xdr:row>25</xdr:row>
      <xdr:rowOff>19050</xdr:rowOff>
    </xdr:from>
    <xdr:ext cx="722823" cy="474767"/>
    <xdr:pic>
      <xdr:nvPicPr>
        <xdr:cNvPr id="3" name="Picture 2">
          <a:extLst>
            <a:ext uri="{FF2B5EF4-FFF2-40B4-BE49-F238E27FC236}">
              <a16:creationId xmlns:a16="http://schemas.microsoft.com/office/drawing/2014/main" id="{375C009A-DC99-490F-8BD5-2E633929FD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76863" y="4829175"/>
          <a:ext cx="722823" cy="474767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20</xdr:row>
          <xdr:rowOff>28575</xdr:rowOff>
        </xdr:from>
        <xdr:to>
          <xdr:col>3</xdr:col>
          <xdr:colOff>571500</xdr:colOff>
          <xdr:row>22</xdr:row>
          <xdr:rowOff>161925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4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20</xdr:row>
          <xdr:rowOff>28575</xdr:rowOff>
        </xdr:from>
        <xdr:to>
          <xdr:col>6</xdr:col>
          <xdr:colOff>571500</xdr:colOff>
          <xdr:row>22</xdr:row>
          <xdr:rowOff>161925</xdr:rowOff>
        </xdr:to>
        <xdr:sp macro="" textlink="">
          <xdr:nvSpPr>
            <xdr:cNvPr id="3075" name="CommandButton2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4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</xdr:col>
      <xdr:colOff>428626</xdr:colOff>
      <xdr:row>19</xdr:row>
      <xdr:rowOff>47015</xdr:rowOff>
    </xdr:from>
    <xdr:to>
      <xdr:col>3</xdr:col>
      <xdr:colOff>571500</xdr:colOff>
      <xdr:row>23</xdr:row>
      <xdr:rowOff>27964</xdr:rowOff>
    </xdr:to>
    <xdr:pic>
      <xdr:nvPicPr>
        <xdr:cNvPr id="5" name="CashCheck" hidden="1">
          <a:extLst>
            <a:ext uri="{FF2B5EF4-FFF2-40B4-BE49-F238E27FC236}">
              <a16:creationId xmlns:a16="http://schemas.microsoft.com/office/drawing/2014/main" id="{12DA08B2-4115-27F9-2739-810C8D5D7C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47826" y="3676040"/>
          <a:ext cx="752474" cy="752474"/>
        </a:xfrm>
        <a:prstGeom prst="rect">
          <a:avLst/>
        </a:prstGeom>
      </xdr:spPr>
    </xdr:pic>
    <xdr:clientData/>
  </xdr:twoCellAnchor>
  <xdr:twoCellAnchor editAs="oneCell">
    <xdr:from>
      <xdr:col>6</xdr:col>
      <xdr:colOff>45225</xdr:colOff>
      <xdr:row>19</xdr:row>
      <xdr:rowOff>47625</xdr:rowOff>
    </xdr:from>
    <xdr:to>
      <xdr:col>7</xdr:col>
      <xdr:colOff>23784</xdr:colOff>
      <xdr:row>22</xdr:row>
      <xdr:rowOff>54759</xdr:rowOff>
    </xdr:to>
    <xdr:pic>
      <xdr:nvPicPr>
        <xdr:cNvPr id="7" name="VisaCheck" hidden="1">
          <a:extLst>
            <a:ext uri="{FF2B5EF4-FFF2-40B4-BE49-F238E27FC236}">
              <a16:creationId xmlns:a16="http://schemas.microsoft.com/office/drawing/2014/main" id="{562B3100-2703-F43D-437B-09BE7D5B11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02825" y="3676650"/>
          <a:ext cx="588159" cy="588159"/>
        </a:xfrm>
        <a:prstGeom prst="rect">
          <a:avLst/>
        </a:prstGeom>
      </xdr:spPr>
    </xdr:pic>
    <xdr:clientData/>
  </xdr:twoCellAnchor>
  <xdr:twoCellAnchor editAs="oneCell">
    <xdr:from>
      <xdr:col>2</xdr:col>
      <xdr:colOff>590550</xdr:colOff>
      <xdr:row>44</xdr:row>
      <xdr:rowOff>0</xdr:rowOff>
    </xdr:from>
    <xdr:to>
      <xdr:col>4</xdr:col>
      <xdr:colOff>123824</xdr:colOff>
      <xdr:row>47</xdr:row>
      <xdr:rowOff>171449</xdr:rowOff>
    </xdr:to>
    <xdr:pic>
      <xdr:nvPicPr>
        <xdr:cNvPr id="8" name="CashCheck_1" hidden="1">
          <a:extLst>
            <a:ext uri="{FF2B5EF4-FFF2-40B4-BE49-F238E27FC236}">
              <a16:creationId xmlns:a16="http://schemas.microsoft.com/office/drawing/2014/main" id="{BC46BB60-5B82-4674-B289-2595AF0EAC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09750" y="8429625"/>
          <a:ext cx="752474" cy="752474"/>
        </a:xfrm>
        <a:prstGeom prst="rect">
          <a:avLst/>
        </a:prstGeom>
      </xdr:spPr>
    </xdr:pic>
    <xdr:clientData/>
  </xdr:twoCellAnchor>
  <xdr:twoCellAnchor editAs="oneCell">
    <xdr:from>
      <xdr:col>6</xdr:col>
      <xdr:colOff>188100</xdr:colOff>
      <xdr:row>44</xdr:row>
      <xdr:rowOff>47625</xdr:rowOff>
    </xdr:from>
    <xdr:to>
      <xdr:col>7</xdr:col>
      <xdr:colOff>166659</xdr:colOff>
      <xdr:row>47</xdr:row>
      <xdr:rowOff>54759</xdr:rowOff>
    </xdr:to>
    <xdr:pic>
      <xdr:nvPicPr>
        <xdr:cNvPr id="9" name="VisaCheck_1" hidden="1">
          <a:extLst>
            <a:ext uri="{FF2B5EF4-FFF2-40B4-BE49-F238E27FC236}">
              <a16:creationId xmlns:a16="http://schemas.microsoft.com/office/drawing/2014/main" id="{12032BF7-9B20-4FF1-85EF-C9080BC9E9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45700" y="8477250"/>
          <a:ext cx="588159" cy="588159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463324</xdr:colOff>
      <xdr:row>5</xdr:row>
      <xdr:rowOff>21771</xdr:rowOff>
    </xdr:from>
    <xdr:ext cx="734624" cy="485653"/>
    <xdr:pic>
      <xdr:nvPicPr>
        <xdr:cNvPr id="2" name="Picture 1">
          <a:extLst>
            <a:ext uri="{FF2B5EF4-FFF2-40B4-BE49-F238E27FC236}">
              <a16:creationId xmlns:a16="http://schemas.microsoft.com/office/drawing/2014/main" id="{D8776DE2-B8B2-4819-8919-7BFC19E506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11324" y="974271"/>
          <a:ext cx="734624" cy="485653"/>
        </a:xfrm>
        <a:prstGeom prst="rect">
          <a:avLst/>
        </a:prstGeom>
      </xdr:spPr>
    </xdr:pic>
    <xdr:clientData/>
  </xdr:oneCellAnchor>
  <xdr:oneCellAnchor>
    <xdr:from>
      <xdr:col>5</xdr:col>
      <xdr:colOff>463324</xdr:colOff>
      <xdr:row>25</xdr:row>
      <xdr:rowOff>21771</xdr:rowOff>
    </xdr:from>
    <xdr:ext cx="722823" cy="474767"/>
    <xdr:pic>
      <xdr:nvPicPr>
        <xdr:cNvPr id="3" name="Picture 2">
          <a:extLst>
            <a:ext uri="{FF2B5EF4-FFF2-40B4-BE49-F238E27FC236}">
              <a16:creationId xmlns:a16="http://schemas.microsoft.com/office/drawing/2014/main" id="{B8324F6C-4839-493D-B7D9-0F0D5719EC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11324" y="4784271"/>
          <a:ext cx="722823" cy="474767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390525</xdr:colOff>
          <xdr:row>17</xdr:row>
          <xdr:rowOff>9525</xdr:rowOff>
        </xdr:from>
        <xdr:to>
          <xdr:col>6</xdr:col>
          <xdr:colOff>28575</xdr:colOff>
          <xdr:row>20</xdr:row>
          <xdr:rowOff>0</xdr:rowOff>
        </xdr:to>
        <xdr:sp macro="" textlink="">
          <xdr:nvSpPr>
            <xdr:cNvPr id="6145" name="CommandButton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57150</xdr:colOff>
          <xdr:row>16</xdr:row>
          <xdr:rowOff>200025</xdr:rowOff>
        </xdr:from>
        <xdr:to>
          <xdr:col>2</xdr:col>
          <xdr:colOff>600075</xdr:colOff>
          <xdr:row>20</xdr:row>
          <xdr:rowOff>9525</xdr:rowOff>
        </xdr:to>
        <xdr:sp macro="" textlink="">
          <xdr:nvSpPr>
            <xdr:cNvPr id="6146" name="CommandButton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5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</xdr:col>
      <xdr:colOff>9525</xdr:colOff>
      <xdr:row>15</xdr:row>
      <xdr:rowOff>161925</xdr:rowOff>
    </xdr:from>
    <xdr:to>
      <xdr:col>3</xdr:col>
      <xdr:colOff>152399</xdr:colOff>
      <xdr:row>20</xdr:row>
      <xdr:rowOff>47624</xdr:rowOff>
    </xdr:to>
    <xdr:pic>
      <xdr:nvPicPr>
        <xdr:cNvPr id="4" name="CashCheck" hidden="1">
          <a:extLst>
            <a:ext uri="{FF2B5EF4-FFF2-40B4-BE49-F238E27FC236}">
              <a16:creationId xmlns:a16="http://schemas.microsoft.com/office/drawing/2014/main" id="{FC0B7DD2-179C-4054-856B-91278E6E46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8725" y="3190875"/>
          <a:ext cx="752474" cy="752474"/>
        </a:xfrm>
        <a:prstGeom prst="rect">
          <a:avLst/>
        </a:prstGeom>
      </xdr:spPr>
    </xdr:pic>
    <xdr:clientData/>
  </xdr:twoCellAnchor>
  <xdr:twoCellAnchor editAs="oneCell">
    <xdr:from>
      <xdr:col>1</xdr:col>
      <xdr:colOff>600074</xdr:colOff>
      <xdr:row>37</xdr:row>
      <xdr:rowOff>153010</xdr:rowOff>
    </xdr:from>
    <xdr:to>
      <xdr:col>3</xdr:col>
      <xdr:colOff>133348</xdr:colOff>
      <xdr:row>42</xdr:row>
      <xdr:rowOff>29184</xdr:rowOff>
    </xdr:to>
    <xdr:pic>
      <xdr:nvPicPr>
        <xdr:cNvPr id="5" name="CashCheck_1" hidden="1">
          <a:extLst>
            <a:ext uri="{FF2B5EF4-FFF2-40B4-BE49-F238E27FC236}">
              <a16:creationId xmlns:a16="http://schemas.microsoft.com/office/drawing/2014/main" id="{6D14D658-FCD9-404F-9E68-7E58DA967D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09674" y="7182460"/>
          <a:ext cx="752474" cy="752474"/>
        </a:xfrm>
        <a:prstGeom prst="rect">
          <a:avLst/>
        </a:prstGeom>
      </xdr:spPr>
    </xdr:pic>
    <xdr:clientData/>
  </xdr:twoCellAnchor>
  <xdr:twoCellAnchor editAs="oneCell">
    <xdr:from>
      <xdr:col>5</xdr:col>
      <xdr:colOff>76200</xdr:colOff>
      <xdr:row>16</xdr:row>
      <xdr:rowOff>19050</xdr:rowOff>
    </xdr:from>
    <xdr:to>
      <xdr:col>6</xdr:col>
      <xdr:colOff>369084</xdr:colOff>
      <xdr:row>19</xdr:row>
      <xdr:rowOff>140484</xdr:rowOff>
    </xdr:to>
    <xdr:pic>
      <xdr:nvPicPr>
        <xdr:cNvPr id="6" name="VisaCheck" hidden="1">
          <a:extLst>
            <a:ext uri="{FF2B5EF4-FFF2-40B4-BE49-F238E27FC236}">
              <a16:creationId xmlns:a16="http://schemas.microsoft.com/office/drawing/2014/main" id="{8E1CCE17-65CC-42D4-9719-21ABAFB629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24200" y="3248025"/>
          <a:ext cx="588159" cy="588159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38</xdr:row>
      <xdr:rowOff>0</xdr:rowOff>
    </xdr:from>
    <xdr:to>
      <xdr:col>6</xdr:col>
      <xdr:colOff>292884</xdr:colOff>
      <xdr:row>41</xdr:row>
      <xdr:rowOff>111909</xdr:rowOff>
    </xdr:to>
    <xdr:pic>
      <xdr:nvPicPr>
        <xdr:cNvPr id="7" name="VisaCheck_1" hidden="1">
          <a:extLst>
            <a:ext uri="{FF2B5EF4-FFF2-40B4-BE49-F238E27FC236}">
              <a16:creationId xmlns:a16="http://schemas.microsoft.com/office/drawing/2014/main" id="{D7BD975D-D4C0-4E62-9AF3-2A3A95971B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229475"/>
          <a:ext cx="588159" cy="588159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ctrlProp" Target="../ctrlProps/ctrlProp2.xml"/><Relationship Id="rId5" Type="http://schemas.openxmlformats.org/officeDocument/2006/relationships/image" Target="../media/image1.emf"/><Relationship Id="rId10" Type="http://schemas.openxmlformats.org/officeDocument/2006/relationships/ctrlProp" Target="../ctrlProps/ctrlProp1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Relationship Id="rId6" Type="http://schemas.openxmlformats.org/officeDocument/2006/relationships/image" Target="../media/image56.emf"/><Relationship Id="rId5" Type="http://schemas.openxmlformats.org/officeDocument/2006/relationships/control" Target="../activeX/activeX5.xml"/><Relationship Id="rId4" Type="http://schemas.openxmlformats.org/officeDocument/2006/relationships/image" Target="../media/image55.emf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62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7.xml"/><Relationship Id="rId5" Type="http://schemas.openxmlformats.org/officeDocument/2006/relationships/image" Target="../media/image61.emf"/><Relationship Id="rId4" Type="http://schemas.openxmlformats.org/officeDocument/2006/relationships/control" Target="../activeX/activeX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W140"/>
  <sheetViews>
    <sheetView topLeftCell="A19" workbookViewId="0">
      <selection activeCell="D22" sqref="D22"/>
    </sheetView>
  </sheetViews>
  <sheetFormatPr defaultRowHeight="15" x14ac:dyDescent="0.25"/>
  <cols>
    <col min="1" max="1" width="9.85546875" bestFit="1" customWidth="1"/>
    <col min="2" max="2" width="16.140625" customWidth="1"/>
    <col min="3" max="3" width="41.5703125" customWidth="1"/>
    <col min="4" max="4" width="12.42578125" customWidth="1"/>
    <col min="6" max="6" width="3.7109375" customWidth="1"/>
    <col min="7" max="7" width="9" style="47" customWidth="1"/>
    <col min="8" max="8" width="9.140625" style="47"/>
  </cols>
  <sheetData>
    <row r="1" spans="1:49" ht="25.5" customHeight="1" x14ac:dyDescent="0.25">
      <c r="A1" s="81"/>
      <c r="B1" s="79"/>
      <c r="C1" s="80"/>
      <c r="D1" s="5"/>
      <c r="E1" s="5"/>
      <c r="F1" s="5"/>
      <c r="G1" s="75"/>
      <c r="H1" s="44"/>
      <c r="I1" s="44"/>
      <c r="J1" s="44"/>
      <c r="K1" s="44"/>
      <c r="L1" s="44"/>
      <c r="M1" s="44"/>
      <c r="N1" s="44"/>
      <c r="O1" s="44"/>
      <c r="P1" s="44"/>
      <c r="Q1" s="44"/>
      <c r="R1" s="44"/>
      <c r="S1" s="44"/>
      <c r="T1" s="44"/>
      <c r="U1" s="44"/>
      <c r="V1" s="44"/>
      <c r="W1" s="44"/>
      <c r="X1" s="44"/>
      <c r="Y1" s="44"/>
      <c r="Z1" s="43">
        <v>1</v>
      </c>
      <c r="AA1" s="44"/>
      <c r="AB1" s="44"/>
      <c r="AC1" s="44"/>
      <c r="AD1" s="44"/>
      <c r="AE1" s="44"/>
      <c r="AF1" s="44"/>
      <c r="AG1" s="44"/>
      <c r="AH1" s="44"/>
      <c r="AI1" s="44"/>
      <c r="AJ1" s="44"/>
      <c r="AK1" s="44"/>
      <c r="AL1" s="44"/>
      <c r="AM1" s="44"/>
      <c r="AN1" s="44"/>
      <c r="AO1" s="44"/>
      <c r="AP1" s="44"/>
      <c r="AQ1" s="44"/>
      <c r="AR1" s="44"/>
      <c r="AS1" s="44"/>
      <c r="AT1" s="44"/>
      <c r="AU1" s="44"/>
      <c r="AV1" s="44"/>
      <c r="AW1" s="44"/>
    </row>
    <row r="2" spans="1:49" ht="18" customHeight="1" x14ac:dyDescent="0.25">
      <c r="A2" s="81"/>
      <c r="B2" s="80"/>
      <c r="C2" s="80"/>
      <c r="D2" s="45" t="s">
        <v>71</v>
      </c>
      <c r="E2" s="76">
        <v>12345</v>
      </c>
      <c r="F2" s="5"/>
      <c r="G2" s="75"/>
      <c r="H2" s="44"/>
      <c r="I2" s="44"/>
      <c r="J2" s="44"/>
      <c r="K2" s="44"/>
      <c r="L2" s="44"/>
      <c r="M2" s="44"/>
      <c r="N2" s="44"/>
      <c r="O2" s="44"/>
      <c r="P2" s="44"/>
      <c r="Q2" s="44"/>
      <c r="R2" s="44"/>
      <c r="S2" s="44"/>
      <c r="T2" s="44"/>
      <c r="U2" s="44"/>
      <c r="V2" s="44"/>
      <c r="W2" s="44"/>
      <c r="X2" s="44"/>
      <c r="Y2" s="44"/>
      <c r="Z2" s="43">
        <v>2</v>
      </c>
      <c r="AA2" s="44"/>
      <c r="AB2" s="44"/>
      <c r="AC2" s="44"/>
      <c r="AD2" s="44"/>
      <c r="AE2" s="44"/>
      <c r="AF2" s="44"/>
      <c r="AG2" s="44"/>
      <c r="AH2" s="44"/>
      <c r="AI2" s="44"/>
      <c r="AJ2" s="44"/>
      <c r="AK2" s="44"/>
      <c r="AL2" s="44"/>
      <c r="AM2" s="44"/>
      <c r="AN2" s="44"/>
      <c r="AO2" s="44"/>
      <c r="AP2" s="44"/>
      <c r="AQ2" s="44"/>
      <c r="AR2" s="44"/>
      <c r="AS2" s="44"/>
      <c r="AT2" s="44"/>
      <c r="AU2" s="44"/>
      <c r="AV2" s="44"/>
      <c r="AW2" s="44"/>
    </row>
    <row r="3" spans="1:49" ht="19.5" customHeight="1" x14ac:dyDescent="0.25">
      <c r="A3" s="2"/>
      <c r="B3" s="2"/>
      <c r="C3" s="50" t="s">
        <v>73</v>
      </c>
      <c r="D3" s="2"/>
      <c r="E3" s="2"/>
      <c r="F3" s="2"/>
      <c r="G3" s="75"/>
      <c r="H3" s="44"/>
      <c r="I3" s="44"/>
      <c r="J3" s="44"/>
      <c r="K3" s="44"/>
      <c r="L3" s="44"/>
      <c r="M3" s="44"/>
      <c r="N3" s="44"/>
      <c r="O3" s="44"/>
      <c r="P3" s="44"/>
      <c r="Q3" s="44"/>
      <c r="R3" s="44"/>
      <c r="S3" s="44"/>
      <c r="T3" s="44"/>
      <c r="U3" s="44"/>
      <c r="V3" s="44"/>
      <c r="W3" s="44"/>
      <c r="X3" s="44"/>
      <c r="Y3" s="44"/>
      <c r="Z3" s="43">
        <v>17</v>
      </c>
      <c r="AA3" s="44"/>
      <c r="AB3" s="44"/>
      <c r="AC3" s="44"/>
      <c r="AD3" s="44"/>
      <c r="AE3" s="44"/>
      <c r="AF3" s="44"/>
      <c r="AG3" s="44"/>
      <c r="AH3" s="44"/>
      <c r="AI3" s="44"/>
      <c r="AJ3" s="44"/>
      <c r="AK3" s="44"/>
      <c r="AL3" s="44"/>
      <c r="AM3" s="44"/>
      <c r="AN3" s="44"/>
      <c r="AO3" s="44"/>
      <c r="AP3" s="44"/>
      <c r="AQ3" s="44"/>
      <c r="AR3" s="44"/>
      <c r="AS3" s="44"/>
      <c r="AT3" s="44"/>
      <c r="AU3" s="44"/>
      <c r="AV3" s="44"/>
      <c r="AW3" s="44"/>
    </row>
    <row r="4" spans="1:49" ht="16.5" customHeight="1" x14ac:dyDescent="0.25">
      <c r="A4" s="78"/>
      <c r="B4" s="4"/>
      <c r="C4" s="46" t="s">
        <v>8</v>
      </c>
      <c r="D4" s="4"/>
      <c r="E4" s="2"/>
      <c r="F4" s="2"/>
      <c r="G4" s="75"/>
      <c r="H4" s="44"/>
      <c r="I4" s="44"/>
      <c r="J4" s="44"/>
      <c r="K4" s="44"/>
      <c r="L4" s="44"/>
      <c r="M4" s="44"/>
      <c r="N4" s="44"/>
      <c r="O4" s="44"/>
      <c r="P4" s="44"/>
      <c r="Q4" s="44"/>
      <c r="R4" s="44"/>
      <c r="S4" s="44"/>
      <c r="T4" s="44"/>
      <c r="U4" s="44"/>
      <c r="V4" s="44"/>
      <c r="W4" s="44"/>
      <c r="X4" s="44"/>
      <c r="Y4" s="44"/>
      <c r="Z4" s="43">
        <v>12345</v>
      </c>
      <c r="AA4" s="44"/>
      <c r="AB4" s="44"/>
      <c r="AC4" s="44"/>
      <c r="AD4" s="44"/>
      <c r="AE4" s="44"/>
      <c r="AF4" s="44"/>
      <c r="AG4" s="44"/>
      <c r="AH4" s="44"/>
      <c r="AI4" s="44"/>
      <c r="AJ4" s="44"/>
      <c r="AK4" s="44"/>
      <c r="AL4" s="44"/>
      <c r="AM4" s="44"/>
      <c r="AN4" s="44"/>
      <c r="AO4" s="44"/>
      <c r="AP4" s="44"/>
      <c r="AQ4" s="44"/>
      <c r="AR4" s="44"/>
      <c r="AS4" s="44"/>
      <c r="AT4" s="44"/>
      <c r="AU4" s="44"/>
      <c r="AV4" s="44"/>
      <c r="AW4" s="44"/>
    </row>
    <row r="5" spans="1:49" ht="18" customHeight="1" x14ac:dyDescent="0.25">
      <c r="A5" s="78"/>
      <c r="B5" s="32" t="s">
        <v>0</v>
      </c>
      <c r="C5" s="33" t="s">
        <v>36</v>
      </c>
      <c r="D5" s="30"/>
      <c r="E5" s="2"/>
      <c r="F5" s="2"/>
      <c r="G5" s="75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3" t="s">
        <v>81</v>
      </c>
      <c r="AA5" s="44"/>
      <c r="AB5" s="44"/>
      <c r="AC5" s="44"/>
      <c r="AD5" s="44"/>
      <c r="AE5" s="44"/>
      <c r="AF5" s="44"/>
      <c r="AG5" s="44"/>
      <c r="AH5" s="44"/>
      <c r="AI5" s="44"/>
      <c r="AJ5" s="44"/>
      <c r="AK5" s="44"/>
      <c r="AL5" s="44"/>
      <c r="AM5" s="44"/>
      <c r="AN5" s="44"/>
      <c r="AO5" s="44"/>
      <c r="AP5" s="44"/>
      <c r="AQ5" s="44"/>
      <c r="AR5" s="44"/>
      <c r="AS5" s="44"/>
      <c r="AT5" s="44"/>
      <c r="AU5" s="44"/>
      <c r="AV5" s="44"/>
      <c r="AW5" s="44"/>
    </row>
    <row r="6" spans="1:49" ht="15.75" customHeight="1" x14ac:dyDescent="0.25">
      <c r="A6" s="78"/>
      <c r="B6" s="32" t="s">
        <v>2</v>
      </c>
      <c r="C6" s="34" t="s">
        <v>37</v>
      </c>
      <c r="D6" s="30"/>
      <c r="E6" s="2"/>
      <c r="F6" s="2"/>
      <c r="G6" s="75"/>
      <c r="H6" s="44"/>
      <c r="I6" s="44"/>
      <c r="J6" s="44"/>
      <c r="K6" s="44"/>
      <c r="L6" s="44"/>
      <c r="M6" s="44"/>
      <c r="N6" s="44"/>
      <c r="O6" s="44"/>
      <c r="P6" s="44"/>
      <c r="Q6" s="44"/>
      <c r="R6" s="44"/>
      <c r="S6" s="44"/>
      <c r="T6" s="44"/>
      <c r="U6" s="44"/>
      <c r="V6" s="44"/>
      <c r="W6" s="44"/>
      <c r="X6" s="44"/>
      <c r="Y6" s="44"/>
      <c r="Z6" s="44"/>
      <c r="AA6" s="44"/>
      <c r="AB6" s="44"/>
      <c r="AC6" s="44"/>
      <c r="AD6" s="44"/>
      <c r="AE6" s="44"/>
      <c r="AF6" s="44"/>
      <c r="AG6" s="44"/>
      <c r="AH6" s="44"/>
      <c r="AI6" s="44"/>
      <c r="AJ6" s="44"/>
      <c r="AK6" s="44"/>
      <c r="AL6" s="44"/>
      <c r="AM6" s="44"/>
      <c r="AN6" s="44"/>
      <c r="AO6" s="44"/>
      <c r="AP6" s="44"/>
      <c r="AQ6" s="44"/>
      <c r="AR6" s="44"/>
      <c r="AS6" s="44"/>
      <c r="AT6" s="44"/>
      <c r="AU6" s="44"/>
      <c r="AV6" s="44"/>
      <c r="AW6" s="44"/>
    </row>
    <row r="7" spans="1:49" ht="15.75" customHeight="1" x14ac:dyDescent="0.25">
      <c r="A7" s="78"/>
      <c r="B7" s="32" t="s">
        <v>4</v>
      </c>
      <c r="C7" s="34" t="s">
        <v>38</v>
      </c>
      <c r="D7" s="30"/>
      <c r="E7" s="2"/>
      <c r="F7" s="2"/>
      <c r="G7" s="75"/>
      <c r="H7" s="44"/>
      <c r="I7" s="44"/>
      <c r="J7" s="44"/>
      <c r="K7" s="44"/>
      <c r="L7" s="44"/>
      <c r="M7" s="44"/>
      <c r="N7" s="44"/>
      <c r="O7" s="44"/>
      <c r="P7" s="44"/>
      <c r="Q7" s="44"/>
      <c r="R7" s="44"/>
      <c r="S7" s="44"/>
      <c r="T7" s="44"/>
      <c r="U7" s="44"/>
      <c r="V7" s="44"/>
      <c r="W7" s="44"/>
      <c r="X7" s="44"/>
      <c r="Y7" s="44"/>
      <c r="Z7" s="44"/>
      <c r="AA7" s="44"/>
      <c r="AB7" s="44"/>
      <c r="AC7" s="44"/>
      <c r="AD7" s="44"/>
      <c r="AE7" s="44"/>
      <c r="AF7" s="44"/>
      <c r="AG7" s="44"/>
      <c r="AH7" s="44"/>
      <c r="AI7" s="44"/>
      <c r="AJ7" s="44"/>
      <c r="AK7" s="44"/>
      <c r="AL7" s="44"/>
      <c r="AM7" s="44"/>
      <c r="AN7" s="44"/>
      <c r="AO7" s="44"/>
      <c r="AP7" s="44"/>
      <c r="AQ7" s="44"/>
      <c r="AR7" s="44"/>
      <c r="AS7" s="44"/>
      <c r="AT7" s="44"/>
      <c r="AU7" s="44"/>
      <c r="AV7" s="44"/>
      <c r="AW7" s="44"/>
    </row>
    <row r="8" spans="1:49" ht="17.25" customHeight="1" x14ac:dyDescent="0.25">
      <c r="A8" s="78"/>
      <c r="B8" s="32" t="s">
        <v>5</v>
      </c>
      <c r="C8" s="35" t="s">
        <v>39</v>
      </c>
      <c r="D8" s="30"/>
      <c r="E8" s="2"/>
      <c r="F8" s="2"/>
      <c r="G8" s="75"/>
      <c r="H8" s="44"/>
      <c r="I8" s="44"/>
      <c r="J8" s="44"/>
      <c r="K8" s="44"/>
      <c r="L8" s="44"/>
      <c r="M8" s="44"/>
      <c r="N8" s="44"/>
      <c r="O8" s="44"/>
      <c r="P8" s="44"/>
      <c r="Q8" s="44"/>
      <c r="R8" s="44"/>
      <c r="S8" s="44"/>
      <c r="T8" s="44"/>
      <c r="U8" s="44"/>
      <c r="V8" s="44"/>
      <c r="W8" s="44"/>
      <c r="X8" s="44"/>
      <c r="Y8" s="44"/>
      <c r="Z8" s="44"/>
      <c r="AA8" s="44"/>
      <c r="AB8" s="44"/>
      <c r="AC8" s="44"/>
      <c r="AD8" s="44"/>
      <c r="AE8" s="44"/>
      <c r="AF8" s="44"/>
      <c r="AG8" s="44"/>
      <c r="AH8" s="44"/>
      <c r="AI8" s="44"/>
      <c r="AJ8" s="44"/>
      <c r="AK8" s="44"/>
      <c r="AL8" s="44"/>
      <c r="AM8" s="44"/>
      <c r="AN8" s="44"/>
      <c r="AO8" s="44"/>
      <c r="AP8" s="44"/>
      <c r="AQ8" s="44"/>
      <c r="AR8" s="44"/>
      <c r="AS8" s="44"/>
      <c r="AT8" s="44"/>
      <c r="AU8" s="44"/>
      <c r="AV8" s="44"/>
      <c r="AW8" s="44"/>
    </row>
    <row r="9" spans="1:49" ht="16.5" customHeight="1" x14ac:dyDescent="0.25">
      <c r="A9" s="78"/>
      <c r="B9" s="32" t="s">
        <v>6</v>
      </c>
      <c r="C9" s="36" t="s">
        <v>40</v>
      </c>
      <c r="D9" s="30"/>
      <c r="E9" s="2"/>
      <c r="F9" s="2"/>
      <c r="G9" s="75"/>
      <c r="H9" s="44"/>
      <c r="I9" s="44"/>
      <c r="J9" s="44"/>
      <c r="K9" s="44"/>
      <c r="L9" s="44"/>
      <c r="M9" s="44"/>
      <c r="N9" s="44"/>
      <c r="O9" s="44"/>
      <c r="P9" s="44"/>
      <c r="Q9" s="44"/>
      <c r="R9" s="44"/>
      <c r="S9" s="44"/>
      <c r="T9" s="44"/>
      <c r="U9" s="44"/>
      <c r="V9" s="44"/>
      <c r="W9" s="44"/>
      <c r="X9" s="44"/>
      <c r="Y9" s="44"/>
      <c r="Z9" s="44"/>
      <c r="AA9" s="44"/>
      <c r="AB9" s="44"/>
      <c r="AC9" s="44"/>
      <c r="AD9" s="44"/>
      <c r="AE9" s="44"/>
      <c r="AF9" s="44"/>
      <c r="AG9" s="44"/>
      <c r="AH9" s="44"/>
      <c r="AI9" s="44"/>
      <c r="AJ9" s="44"/>
      <c r="AK9" s="44"/>
      <c r="AL9" s="44"/>
      <c r="AM9" s="44"/>
      <c r="AN9" s="44"/>
      <c r="AO9" s="44"/>
      <c r="AP9" s="44"/>
      <c r="AQ9" s="44"/>
      <c r="AR9" s="44"/>
      <c r="AS9" s="44"/>
      <c r="AT9" s="44"/>
      <c r="AU9" s="44"/>
      <c r="AV9" s="44"/>
      <c r="AW9" s="44"/>
    </row>
    <row r="10" spans="1:49" ht="15.75" customHeight="1" x14ac:dyDescent="0.25">
      <c r="A10" s="78"/>
      <c r="B10" s="32" t="s">
        <v>7</v>
      </c>
      <c r="C10" s="36" t="s">
        <v>41</v>
      </c>
      <c r="D10" s="30"/>
      <c r="E10" s="2"/>
      <c r="F10" s="2"/>
      <c r="G10" s="75"/>
      <c r="H10" s="44"/>
      <c r="I10" s="44"/>
      <c r="J10" s="44"/>
      <c r="K10" s="44"/>
      <c r="L10" s="44"/>
      <c r="M10" s="44"/>
      <c r="N10" s="44"/>
      <c r="O10" s="44"/>
      <c r="P10" s="44"/>
      <c r="Q10" s="44"/>
      <c r="R10" s="44"/>
      <c r="S10" s="44"/>
      <c r="T10" s="44"/>
      <c r="U10" s="44"/>
      <c r="V10" s="44"/>
      <c r="W10" s="44"/>
      <c r="X10" s="44"/>
      <c r="Y10" s="44"/>
      <c r="Z10" s="44"/>
      <c r="AA10" s="44"/>
      <c r="AB10" s="44"/>
      <c r="AC10" s="44"/>
      <c r="AD10" s="44"/>
      <c r="AE10" s="44"/>
      <c r="AF10" s="44"/>
      <c r="AG10" s="44"/>
      <c r="AH10" s="44"/>
      <c r="AI10" s="44"/>
      <c r="AJ10" s="44"/>
      <c r="AK10" s="44"/>
      <c r="AL10" s="44"/>
      <c r="AM10" s="44"/>
      <c r="AN10" s="44"/>
      <c r="AO10" s="44"/>
      <c r="AP10" s="44"/>
      <c r="AQ10" s="44"/>
      <c r="AR10" s="44"/>
      <c r="AS10" s="44"/>
      <c r="AT10" s="44"/>
      <c r="AU10" s="44"/>
      <c r="AV10" s="44"/>
      <c r="AW10" s="44"/>
    </row>
    <row r="11" spans="1:49" x14ac:dyDescent="0.25">
      <c r="A11" s="78"/>
      <c r="B11" s="30"/>
      <c r="C11" s="31"/>
      <c r="D11" s="30"/>
      <c r="E11" s="2"/>
      <c r="F11" s="2"/>
      <c r="G11" s="75"/>
      <c r="H11" s="44"/>
      <c r="I11" s="44"/>
      <c r="J11" s="44"/>
      <c r="K11" s="44"/>
      <c r="L11" s="44"/>
      <c r="M11" s="44"/>
      <c r="N11" s="44"/>
      <c r="O11" s="44"/>
      <c r="P11" s="44"/>
      <c r="Q11" s="44"/>
      <c r="R11" s="44"/>
      <c r="S11" s="44"/>
      <c r="T11" s="44"/>
      <c r="U11" s="44"/>
      <c r="V11" s="44"/>
      <c r="W11" s="44"/>
      <c r="X11" s="44"/>
      <c r="Y11" s="44"/>
      <c r="Z11" s="44"/>
      <c r="AA11" s="44"/>
      <c r="AB11" s="44"/>
      <c r="AC11" s="44"/>
      <c r="AD11" s="44"/>
      <c r="AE11" s="44"/>
      <c r="AF11" s="44"/>
      <c r="AG11" s="44"/>
      <c r="AH11" s="44"/>
      <c r="AI11" s="44"/>
      <c r="AJ11" s="44"/>
      <c r="AK11" s="44"/>
      <c r="AL11" s="44"/>
      <c r="AM11" s="44"/>
      <c r="AN11" s="44"/>
      <c r="AO11" s="44"/>
      <c r="AP11" s="44"/>
      <c r="AQ11" s="44"/>
      <c r="AR11" s="44"/>
      <c r="AS11" s="44"/>
      <c r="AT11" s="44"/>
      <c r="AU11" s="44"/>
      <c r="AV11" s="44"/>
      <c r="AW11" s="44"/>
    </row>
    <row r="12" spans="1:49" x14ac:dyDescent="0.25">
      <c r="A12" s="78"/>
      <c r="B12" s="2"/>
      <c r="C12" s="2"/>
      <c r="D12" s="2"/>
      <c r="E12" s="2"/>
      <c r="F12" s="2"/>
      <c r="G12" s="75"/>
      <c r="H12" s="44"/>
      <c r="I12" s="44"/>
      <c r="J12" s="44"/>
      <c r="K12" s="44"/>
      <c r="L12" s="44"/>
      <c r="M12" s="44"/>
      <c r="N12" s="44"/>
      <c r="O12" s="44"/>
      <c r="P12" s="44"/>
      <c r="Q12" s="44"/>
      <c r="R12" s="44"/>
      <c r="S12" s="44"/>
      <c r="T12" s="44"/>
      <c r="U12" s="44"/>
      <c r="V12" s="44"/>
      <c r="W12" s="44"/>
      <c r="X12" s="44"/>
      <c r="Y12" s="44"/>
      <c r="Z12" s="44"/>
      <c r="AA12" s="44"/>
      <c r="AB12" s="44"/>
      <c r="AC12" s="44"/>
      <c r="AD12" s="44"/>
      <c r="AE12" s="44"/>
      <c r="AF12" s="44"/>
      <c r="AG12" s="44"/>
      <c r="AH12" s="44"/>
      <c r="AI12" s="44"/>
      <c r="AJ12" s="44"/>
      <c r="AK12" s="44"/>
      <c r="AL12" s="44"/>
      <c r="AM12" s="44"/>
      <c r="AN12" s="44"/>
      <c r="AO12" s="44"/>
      <c r="AP12" s="44"/>
      <c r="AQ12" s="44"/>
      <c r="AR12" s="44"/>
      <c r="AS12" s="44"/>
      <c r="AT12" s="44"/>
      <c r="AU12" s="44"/>
      <c r="AV12" s="44"/>
      <c r="AW12" s="44"/>
    </row>
    <row r="13" spans="1:49" ht="35.25" customHeight="1" x14ac:dyDescent="0.25">
      <c r="A13" s="75"/>
      <c r="B13" s="75"/>
      <c r="C13" s="75"/>
      <c r="D13" s="75"/>
      <c r="E13" s="75"/>
      <c r="F13" s="75"/>
      <c r="G13" s="75"/>
      <c r="H13" s="44"/>
      <c r="I13" s="44"/>
      <c r="J13" s="44"/>
      <c r="K13" s="44"/>
      <c r="L13" s="44"/>
      <c r="M13" s="44"/>
      <c r="N13" s="44"/>
      <c r="O13" s="44"/>
      <c r="P13" s="44"/>
      <c r="Q13" s="44"/>
      <c r="R13" s="44"/>
      <c r="S13" s="44"/>
      <c r="T13" s="44"/>
      <c r="U13" s="44"/>
      <c r="V13" s="44"/>
      <c r="W13" s="44"/>
      <c r="X13" s="44"/>
      <c r="Y13" s="44"/>
      <c r="Z13" s="44"/>
      <c r="AA13" s="44"/>
      <c r="AB13" s="44"/>
      <c r="AC13" s="44"/>
      <c r="AD13" s="44"/>
      <c r="AE13" s="44"/>
      <c r="AF13" s="44"/>
      <c r="AG13" s="44"/>
      <c r="AH13" s="44"/>
      <c r="AI13" s="44"/>
      <c r="AJ13" s="44"/>
      <c r="AK13" s="44"/>
      <c r="AL13" s="44"/>
      <c r="AM13" s="44"/>
      <c r="AN13" s="44"/>
      <c r="AO13" s="44"/>
      <c r="AP13" s="44"/>
      <c r="AQ13" s="44"/>
      <c r="AR13" s="44"/>
      <c r="AS13" s="44"/>
      <c r="AT13" s="44"/>
      <c r="AU13" s="44"/>
      <c r="AV13" s="44"/>
      <c r="AW13" s="44"/>
    </row>
    <row r="14" spans="1:49" ht="19.5" customHeight="1" x14ac:dyDescent="0.3">
      <c r="A14" s="48" t="s">
        <v>9</v>
      </c>
      <c r="B14" s="4"/>
      <c r="C14" s="77" t="s">
        <v>72</v>
      </c>
      <c r="D14" s="4"/>
      <c r="E14" s="4"/>
      <c r="F14" s="4"/>
      <c r="G14" s="75"/>
      <c r="H14" s="44"/>
      <c r="I14" s="44"/>
      <c r="J14" s="44"/>
      <c r="K14" s="44"/>
      <c r="L14" s="44"/>
      <c r="M14" s="44"/>
      <c r="N14" s="44"/>
      <c r="O14" s="44"/>
      <c r="P14" s="44"/>
      <c r="Q14" s="44"/>
      <c r="R14" s="44"/>
      <c r="S14" s="44"/>
      <c r="T14" s="44"/>
      <c r="U14" s="44"/>
      <c r="V14" s="44"/>
      <c r="W14" s="44"/>
      <c r="X14" s="44"/>
      <c r="Y14" s="44"/>
      <c r="Z14" s="44"/>
      <c r="AA14" s="44"/>
      <c r="AB14" s="44"/>
      <c r="AC14" s="44"/>
      <c r="AD14" s="44"/>
      <c r="AE14" s="44"/>
      <c r="AF14" s="44"/>
      <c r="AG14" s="44"/>
      <c r="AH14" s="44"/>
      <c r="AI14" s="44"/>
      <c r="AJ14" s="44"/>
      <c r="AK14" s="44"/>
      <c r="AL14" s="44"/>
      <c r="AM14" s="44"/>
      <c r="AN14" s="44"/>
      <c r="AO14" s="44"/>
      <c r="AP14" s="44"/>
      <c r="AQ14" s="44"/>
      <c r="AR14" s="44"/>
      <c r="AS14" s="44"/>
      <c r="AT14" s="44"/>
      <c r="AU14" s="44"/>
      <c r="AV14" s="44"/>
      <c r="AW14" s="44"/>
    </row>
    <row r="15" spans="1:49" ht="15.75" x14ac:dyDescent="0.25">
      <c r="A15" s="29" t="s">
        <v>2</v>
      </c>
      <c r="B15" s="67" t="s">
        <v>16</v>
      </c>
      <c r="C15" s="68" t="s">
        <v>74</v>
      </c>
      <c r="D15" s="69" t="s">
        <v>75</v>
      </c>
      <c r="E15" s="4"/>
      <c r="F15" s="4"/>
      <c r="G15" s="75"/>
      <c r="H15" s="44"/>
      <c r="I15" s="44"/>
      <c r="J15" s="44"/>
      <c r="K15" s="44"/>
      <c r="L15" s="44"/>
      <c r="M15" s="44"/>
      <c r="N15" s="44"/>
      <c r="O15" s="44"/>
      <c r="P15" s="44"/>
      <c r="Q15" s="44"/>
      <c r="R15" s="44"/>
      <c r="S15" s="44"/>
      <c r="T15" s="44"/>
      <c r="U15" s="44"/>
      <c r="V15" s="44"/>
      <c r="W15" s="44"/>
      <c r="X15" s="44"/>
      <c r="Y15" s="44"/>
      <c r="Z15" s="44"/>
      <c r="AA15" s="44"/>
      <c r="AB15" s="44"/>
      <c r="AC15" s="44"/>
      <c r="AD15" s="44"/>
      <c r="AE15" s="44"/>
      <c r="AF15" s="44"/>
      <c r="AG15" s="44"/>
      <c r="AH15" s="44"/>
      <c r="AI15" s="44"/>
      <c r="AJ15" s="44"/>
      <c r="AK15" s="44"/>
      <c r="AL15" s="44"/>
      <c r="AM15" s="44"/>
      <c r="AN15" s="44"/>
      <c r="AO15" s="44"/>
      <c r="AP15" s="44"/>
      <c r="AQ15" s="44"/>
      <c r="AR15" s="44"/>
      <c r="AS15" s="44"/>
      <c r="AT15" s="44"/>
      <c r="AU15" s="44"/>
      <c r="AV15" s="44"/>
      <c r="AW15" s="44"/>
    </row>
    <row r="16" spans="1:49" ht="60.75" customHeight="1" x14ac:dyDescent="0.25">
      <c r="A16" s="29" t="s">
        <v>10</v>
      </c>
      <c r="B16" s="70"/>
      <c r="C16" s="71"/>
      <c r="D16" s="70"/>
      <c r="E16" s="4"/>
      <c r="F16" s="4"/>
      <c r="G16" s="75"/>
      <c r="H16" s="44"/>
      <c r="I16" s="51"/>
      <c r="J16" s="44"/>
      <c r="K16" s="44"/>
      <c r="L16" s="44"/>
      <c r="M16" s="44"/>
      <c r="N16" s="44"/>
      <c r="O16" s="44"/>
      <c r="P16" s="44"/>
      <c r="Q16" s="44"/>
      <c r="R16" s="44"/>
      <c r="S16" s="44"/>
      <c r="T16" s="44"/>
      <c r="U16" s="44"/>
      <c r="V16" s="44"/>
      <c r="W16" s="44"/>
      <c r="X16" s="44"/>
      <c r="Y16" s="44"/>
      <c r="Z16" s="44"/>
      <c r="AA16" s="44"/>
      <c r="AB16" s="44"/>
      <c r="AC16" s="44"/>
      <c r="AD16" s="44"/>
      <c r="AE16" s="44"/>
      <c r="AF16" s="44"/>
      <c r="AG16" s="44"/>
      <c r="AH16" s="44"/>
      <c r="AI16" s="44"/>
      <c r="AJ16" s="44"/>
      <c r="AK16" s="44"/>
      <c r="AL16" s="44"/>
      <c r="AM16" s="44"/>
      <c r="AN16" s="44"/>
      <c r="AO16" s="44"/>
      <c r="AP16" s="44"/>
      <c r="AQ16" s="44"/>
      <c r="AR16" s="44"/>
      <c r="AS16" s="44"/>
      <c r="AT16" s="44"/>
      <c r="AU16" s="44"/>
      <c r="AV16" s="44"/>
      <c r="AW16" s="44"/>
    </row>
    <row r="17" spans="1:49" ht="69.75" customHeight="1" x14ac:dyDescent="0.25">
      <c r="A17" s="29" t="s">
        <v>11</v>
      </c>
      <c r="B17" s="70"/>
      <c r="C17" s="70"/>
      <c r="D17" s="70"/>
      <c r="E17" s="4"/>
      <c r="F17" s="4"/>
      <c r="G17" s="75"/>
      <c r="H17" s="44"/>
      <c r="I17" s="44"/>
      <c r="J17" s="44"/>
      <c r="K17" s="44"/>
      <c r="L17" s="44"/>
      <c r="M17" s="44"/>
      <c r="N17" s="44"/>
      <c r="O17" s="44"/>
      <c r="P17" s="44"/>
      <c r="Q17" s="44"/>
      <c r="R17" s="44"/>
      <c r="S17" s="44"/>
      <c r="T17" s="44"/>
      <c r="U17" s="44"/>
      <c r="V17" s="44"/>
      <c r="W17" s="44"/>
      <c r="X17" s="44"/>
      <c r="Y17" s="44"/>
      <c r="Z17" s="44"/>
      <c r="AA17" s="44"/>
      <c r="AB17" s="44"/>
      <c r="AC17" s="44"/>
      <c r="AD17" s="44"/>
      <c r="AE17" s="44"/>
      <c r="AF17" s="44"/>
      <c r="AG17" s="44"/>
      <c r="AH17" s="44"/>
      <c r="AI17" s="44"/>
      <c r="AJ17" s="44"/>
      <c r="AK17" s="44"/>
      <c r="AL17" s="44"/>
      <c r="AM17" s="44"/>
      <c r="AN17" s="44"/>
      <c r="AO17" s="44"/>
      <c r="AP17" s="44"/>
      <c r="AQ17" s="44"/>
      <c r="AR17" s="44"/>
      <c r="AS17" s="44"/>
      <c r="AT17" s="44"/>
      <c r="AU17" s="44"/>
      <c r="AV17" s="44"/>
      <c r="AW17" s="44"/>
    </row>
    <row r="18" spans="1:49" ht="15.75" x14ac:dyDescent="0.25">
      <c r="A18" s="29" t="s">
        <v>12</v>
      </c>
      <c r="B18" s="74">
        <v>120</v>
      </c>
      <c r="C18" s="74">
        <v>240</v>
      </c>
      <c r="D18" s="74">
        <v>360</v>
      </c>
      <c r="E18" s="4"/>
      <c r="F18" s="4"/>
      <c r="G18" s="75"/>
      <c r="H18" s="44"/>
      <c r="I18" s="44"/>
      <c r="J18" s="44"/>
      <c r="K18" s="44"/>
      <c r="L18" s="44"/>
      <c r="M18" s="44"/>
      <c r="N18" s="44"/>
      <c r="O18" s="44"/>
      <c r="P18" s="44"/>
      <c r="Q18" s="44"/>
      <c r="R18" s="44"/>
      <c r="S18" s="44"/>
      <c r="T18" s="44"/>
      <c r="U18" s="44"/>
      <c r="V18" s="44"/>
      <c r="W18" s="44"/>
      <c r="X18" s="44"/>
      <c r="Y18" s="44"/>
      <c r="Z18" s="44"/>
      <c r="AA18" s="44"/>
      <c r="AB18" s="44"/>
      <c r="AC18" s="44"/>
      <c r="AD18" s="44"/>
      <c r="AE18" s="44"/>
      <c r="AF18" s="44"/>
      <c r="AG18" s="44"/>
      <c r="AH18" s="44"/>
      <c r="AI18" s="44"/>
      <c r="AJ18" s="44"/>
      <c r="AK18" s="44"/>
      <c r="AL18" s="44"/>
      <c r="AM18" s="44"/>
      <c r="AN18" s="44"/>
      <c r="AO18" s="44"/>
      <c r="AP18" s="44"/>
      <c r="AQ18" s="44"/>
      <c r="AR18" s="44"/>
      <c r="AS18" s="44"/>
      <c r="AT18" s="44"/>
      <c r="AU18" s="44"/>
      <c r="AV18" s="44"/>
      <c r="AW18" s="44"/>
    </row>
    <row r="19" spans="1:49" ht="15.75" x14ac:dyDescent="0.25">
      <c r="A19" s="6"/>
      <c r="B19" s="73"/>
      <c r="C19" s="73"/>
      <c r="D19" s="73"/>
      <c r="E19" s="4"/>
      <c r="F19" s="4"/>
      <c r="G19" s="75"/>
      <c r="H19" s="44"/>
      <c r="I19" s="44"/>
      <c r="J19" s="44"/>
      <c r="K19" s="44"/>
      <c r="L19" s="44"/>
      <c r="M19" s="44"/>
      <c r="N19" s="44"/>
      <c r="O19" s="44"/>
      <c r="P19" s="44"/>
      <c r="Q19" s="44"/>
      <c r="R19" s="44"/>
      <c r="S19" s="44"/>
      <c r="T19" s="44"/>
      <c r="U19" s="44"/>
      <c r="V19" s="44"/>
      <c r="W19" s="44"/>
      <c r="X19" s="44"/>
      <c r="Y19" s="44"/>
      <c r="Z19" s="44"/>
      <c r="AA19" s="44"/>
      <c r="AB19" s="44"/>
      <c r="AC19" s="44"/>
      <c r="AD19" s="44"/>
      <c r="AE19" s="44"/>
      <c r="AF19" s="44"/>
      <c r="AG19" s="44"/>
      <c r="AH19" s="44"/>
      <c r="AI19" s="44"/>
      <c r="AJ19" s="44"/>
      <c r="AK19" s="44"/>
      <c r="AL19" s="44"/>
      <c r="AM19" s="44"/>
      <c r="AN19" s="44"/>
      <c r="AO19" s="44"/>
      <c r="AP19" s="44"/>
      <c r="AQ19" s="44"/>
      <c r="AR19" s="44"/>
      <c r="AS19" s="44"/>
      <c r="AT19" s="44"/>
      <c r="AU19" s="44"/>
      <c r="AV19" s="44"/>
      <c r="AW19" s="44"/>
    </row>
    <row r="20" spans="1:49" ht="15.75" x14ac:dyDescent="0.25">
      <c r="A20" s="29" t="s">
        <v>2</v>
      </c>
      <c r="B20" s="72" t="s">
        <v>17</v>
      </c>
      <c r="C20" s="68" t="s">
        <v>74</v>
      </c>
      <c r="D20" s="69" t="s">
        <v>75</v>
      </c>
      <c r="E20" s="4"/>
      <c r="F20" s="4"/>
      <c r="G20" s="75"/>
      <c r="H20" s="44"/>
      <c r="I20" s="44"/>
      <c r="J20" s="44"/>
      <c r="K20" s="44"/>
      <c r="L20" s="44"/>
      <c r="M20" s="44"/>
      <c r="N20" s="44"/>
      <c r="O20" s="44"/>
      <c r="P20" s="44"/>
      <c r="Q20" s="44"/>
      <c r="R20" s="44"/>
      <c r="S20" s="44"/>
      <c r="T20" s="44"/>
      <c r="U20" s="44"/>
      <c r="V20" s="44"/>
      <c r="W20" s="44"/>
      <c r="X20" s="44"/>
      <c r="Y20" s="44"/>
      <c r="Z20" s="44"/>
      <c r="AA20" s="44"/>
      <c r="AB20" s="44"/>
      <c r="AC20" s="44"/>
      <c r="AD20" s="44"/>
      <c r="AE20" s="44"/>
      <c r="AF20" s="44"/>
      <c r="AG20" s="44"/>
      <c r="AH20" s="44"/>
      <c r="AI20" s="44"/>
      <c r="AJ20" s="44"/>
      <c r="AK20" s="44"/>
      <c r="AL20" s="44"/>
      <c r="AM20" s="44"/>
      <c r="AN20" s="44"/>
      <c r="AO20" s="44"/>
      <c r="AP20" s="44"/>
      <c r="AQ20" s="44"/>
      <c r="AR20" s="44"/>
      <c r="AS20" s="44"/>
      <c r="AT20" s="44"/>
      <c r="AU20" s="44"/>
      <c r="AV20" s="44"/>
      <c r="AW20" s="44"/>
    </row>
    <row r="21" spans="1:49" ht="70.5" customHeight="1" x14ac:dyDescent="0.25">
      <c r="A21" s="29" t="s">
        <v>10</v>
      </c>
      <c r="B21" s="70"/>
      <c r="C21" s="70"/>
      <c r="D21" s="70"/>
      <c r="E21" s="4"/>
      <c r="F21" s="4"/>
      <c r="G21" s="75"/>
      <c r="H21" s="44"/>
      <c r="I21" s="44"/>
      <c r="J21" s="44"/>
      <c r="K21" s="44"/>
      <c r="L21" s="44"/>
      <c r="M21" s="44"/>
      <c r="N21" s="44"/>
      <c r="O21" s="44"/>
      <c r="P21" s="44"/>
      <c r="Q21" s="44"/>
      <c r="R21" s="44"/>
      <c r="S21" s="44"/>
      <c r="T21" s="44"/>
      <c r="U21" s="44"/>
      <c r="V21" s="44"/>
      <c r="W21" s="44"/>
      <c r="X21" s="44"/>
      <c r="Y21" s="44"/>
      <c r="Z21" s="44"/>
      <c r="AA21" s="44"/>
      <c r="AB21" s="44"/>
      <c r="AC21" s="44"/>
      <c r="AD21" s="44"/>
      <c r="AE21" s="44"/>
      <c r="AF21" s="44"/>
      <c r="AG21" s="44"/>
      <c r="AH21" s="44"/>
      <c r="AI21" s="44"/>
      <c r="AJ21" s="44"/>
      <c r="AK21" s="44"/>
      <c r="AL21" s="44"/>
      <c r="AM21" s="44"/>
      <c r="AN21" s="44"/>
      <c r="AO21" s="44"/>
      <c r="AP21" s="44"/>
      <c r="AQ21" s="44"/>
      <c r="AR21" s="44"/>
      <c r="AS21" s="44"/>
      <c r="AT21" s="44"/>
      <c r="AU21" s="44"/>
      <c r="AV21" s="44"/>
      <c r="AW21" s="44"/>
    </row>
    <row r="22" spans="1:49" ht="74.25" customHeight="1" x14ac:dyDescent="0.25">
      <c r="A22" s="29" t="s">
        <v>11</v>
      </c>
      <c r="B22" s="70"/>
      <c r="C22" s="70"/>
      <c r="D22" s="70"/>
      <c r="E22" s="4"/>
      <c r="F22" s="4"/>
      <c r="G22" s="75"/>
      <c r="H22" s="44"/>
      <c r="I22" s="44"/>
      <c r="J22" s="44"/>
      <c r="K22" s="44"/>
      <c r="L22" s="44"/>
      <c r="M22" s="44"/>
      <c r="N22" s="44"/>
      <c r="O22" s="44"/>
      <c r="P22" s="44"/>
      <c r="Q22" s="44"/>
      <c r="R22" s="44"/>
      <c r="S22" s="44"/>
      <c r="T22" s="44"/>
      <c r="U22" s="44"/>
      <c r="V22" s="44"/>
      <c r="W22" s="44"/>
      <c r="X22" s="44"/>
      <c r="Y22" s="44"/>
      <c r="Z22" s="44"/>
      <c r="AA22" s="44"/>
      <c r="AB22" s="44"/>
      <c r="AC22" s="44"/>
      <c r="AD22" s="44"/>
      <c r="AE22" s="44"/>
      <c r="AF22" s="44"/>
      <c r="AG22" s="44"/>
      <c r="AH22" s="44"/>
      <c r="AI22" s="44"/>
      <c r="AJ22" s="44"/>
      <c r="AK22" s="44"/>
      <c r="AL22" s="44"/>
      <c r="AM22" s="44"/>
      <c r="AN22" s="44"/>
      <c r="AO22" s="44"/>
      <c r="AP22" s="44"/>
      <c r="AQ22" s="44"/>
      <c r="AR22" s="44"/>
      <c r="AS22" s="44"/>
      <c r="AT22" s="44"/>
      <c r="AU22" s="44"/>
      <c r="AV22" s="44"/>
      <c r="AW22" s="44"/>
    </row>
    <row r="23" spans="1:49" ht="15.75" x14ac:dyDescent="0.25">
      <c r="A23" s="29" t="s">
        <v>12</v>
      </c>
      <c r="B23" s="74">
        <v>75</v>
      </c>
      <c r="C23" s="74">
        <v>150</v>
      </c>
      <c r="D23" s="74">
        <v>225</v>
      </c>
      <c r="E23" s="4"/>
      <c r="F23" s="4"/>
      <c r="G23" s="75"/>
      <c r="H23" s="44"/>
      <c r="I23" s="44"/>
      <c r="J23" s="44"/>
      <c r="K23" s="44"/>
      <c r="L23" s="44"/>
      <c r="M23" s="44"/>
      <c r="N23" s="44"/>
      <c r="O23" s="44"/>
      <c r="P23" s="44"/>
      <c r="Q23" s="44"/>
      <c r="R23" s="44"/>
      <c r="S23" s="44"/>
      <c r="T23" s="44"/>
      <c r="U23" s="44"/>
      <c r="V23" s="44"/>
      <c r="W23" s="44"/>
      <c r="X23" s="44"/>
      <c r="Y23" s="44"/>
      <c r="Z23" s="44"/>
      <c r="AA23" s="44"/>
      <c r="AB23" s="44"/>
      <c r="AC23" s="44"/>
      <c r="AD23" s="44"/>
      <c r="AE23" s="44"/>
      <c r="AF23" s="44"/>
      <c r="AG23" s="44"/>
      <c r="AH23" s="44"/>
      <c r="AI23" s="44"/>
      <c r="AJ23" s="44"/>
      <c r="AK23" s="44"/>
      <c r="AL23" s="44"/>
      <c r="AM23" s="44"/>
      <c r="AN23" s="44"/>
      <c r="AO23" s="44"/>
      <c r="AP23" s="44"/>
      <c r="AQ23" s="44"/>
      <c r="AR23" s="44"/>
      <c r="AS23" s="44"/>
      <c r="AT23" s="44"/>
      <c r="AU23" s="44"/>
      <c r="AV23" s="44"/>
      <c r="AW23" s="44"/>
    </row>
    <row r="24" spans="1:49" ht="15.75" x14ac:dyDescent="0.25">
      <c r="A24" s="6"/>
      <c r="B24" s="73"/>
      <c r="C24" s="73"/>
      <c r="D24" s="73"/>
      <c r="E24" s="4"/>
      <c r="F24" s="4"/>
      <c r="G24" s="75"/>
      <c r="H24" s="44"/>
      <c r="I24" s="44"/>
      <c r="J24" s="44"/>
      <c r="K24" s="44"/>
      <c r="L24" s="44"/>
      <c r="M24" s="44"/>
      <c r="N24" s="44"/>
      <c r="O24" s="44"/>
      <c r="P24" s="44"/>
      <c r="Q24" s="44"/>
      <c r="R24" s="44"/>
      <c r="S24" s="44"/>
      <c r="T24" s="44"/>
      <c r="U24" s="44"/>
      <c r="V24" s="44"/>
      <c r="W24" s="44"/>
      <c r="X24" s="44"/>
      <c r="Y24" s="44"/>
      <c r="Z24" s="44"/>
      <c r="AA24" s="44"/>
      <c r="AB24" s="44"/>
      <c r="AC24" s="44"/>
      <c r="AD24" s="44"/>
      <c r="AE24" s="44"/>
      <c r="AF24" s="44"/>
      <c r="AG24" s="44"/>
      <c r="AH24" s="44"/>
      <c r="AI24" s="44"/>
      <c r="AJ24" s="44"/>
      <c r="AK24" s="44"/>
      <c r="AL24" s="44"/>
      <c r="AM24" s="44"/>
      <c r="AN24" s="44"/>
      <c r="AO24" s="44"/>
      <c r="AP24" s="44"/>
      <c r="AQ24" s="44"/>
      <c r="AR24" s="44"/>
      <c r="AS24" s="44"/>
      <c r="AT24" s="44"/>
      <c r="AU24" s="44"/>
      <c r="AV24" s="44"/>
      <c r="AW24" s="44"/>
    </row>
    <row r="25" spans="1:49" ht="15.75" x14ac:dyDescent="0.25">
      <c r="A25" s="29" t="s">
        <v>2</v>
      </c>
      <c r="B25" s="72" t="s">
        <v>18</v>
      </c>
      <c r="C25" s="68" t="s">
        <v>74</v>
      </c>
      <c r="D25" s="69" t="s">
        <v>75</v>
      </c>
      <c r="E25" s="4"/>
      <c r="F25" s="4"/>
      <c r="G25" s="75"/>
      <c r="H25" s="44"/>
      <c r="I25" s="44"/>
      <c r="J25" s="44"/>
      <c r="K25" s="44"/>
      <c r="L25" s="44"/>
      <c r="M25" s="44"/>
      <c r="N25" s="44"/>
      <c r="O25" s="44"/>
      <c r="P25" s="44"/>
      <c r="Q25" s="44"/>
      <c r="R25" s="44"/>
      <c r="S25" s="44"/>
      <c r="T25" s="44"/>
      <c r="U25" s="44"/>
      <c r="V25" s="44"/>
      <c r="W25" s="44"/>
      <c r="X25" s="44"/>
      <c r="Y25" s="44"/>
      <c r="Z25" s="44"/>
      <c r="AA25" s="44"/>
      <c r="AB25" s="44"/>
      <c r="AC25" s="44"/>
      <c r="AD25" s="44"/>
      <c r="AE25" s="44"/>
      <c r="AF25" s="44"/>
      <c r="AG25" s="44"/>
      <c r="AH25" s="44"/>
      <c r="AI25" s="44"/>
      <c r="AJ25" s="44"/>
      <c r="AK25" s="44"/>
      <c r="AL25" s="44"/>
      <c r="AM25" s="44"/>
      <c r="AN25" s="44"/>
      <c r="AO25" s="44"/>
      <c r="AP25" s="44"/>
      <c r="AQ25" s="44"/>
      <c r="AR25" s="44"/>
      <c r="AS25" s="44"/>
      <c r="AT25" s="44"/>
      <c r="AU25" s="44"/>
      <c r="AV25" s="44"/>
      <c r="AW25" s="44"/>
    </row>
    <row r="26" spans="1:49" ht="59.25" customHeight="1" x14ac:dyDescent="0.25">
      <c r="A26" s="29" t="s">
        <v>10</v>
      </c>
      <c r="B26" s="70"/>
      <c r="C26" s="70"/>
      <c r="D26" s="70"/>
      <c r="E26" s="4"/>
      <c r="F26" s="4"/>
      <c r="G26" s="75"/>
      <c r="H26" s="44"/>
      <c r="I26" s="44"/>
      <c r="J26" s="44"/>
      <c r="K26" s="44"/>
      <c r="L26" s="44"/>
      <c r="M26" s="44"/>
      <c r="N26" s="44"/>
      <c r="O26" s="44"/>
      <c r="P26" s="44"/>
      <c r="Q26" s="44"/>
      <c r="R26" s="44"/>
      <c r="S26" s="44"/>
      <c r="T26" s="44"/>
      <c r="U26" s="44"/>
      <c r="V26" s="44"/>
      <c r="W26" s="44"/>
      <c r="X26" s="44"/>
      <c r="Y26" s="44"/>
      <c r="Z26" s="44"/>
      <c r="AA26" s="44"/>
      <c r="AB26" s="44"/>
      <c r="AC26" s="44"/>
      <c r="AD26" s="44"/>
      <c r="AE26" s="44"/>
      <c r="AF26" s="44"/>
      <c r="AG26" s="44"/>
      <c r="AH26" s="44"/>
      <c r="AI26" s="44"/>
      <c r="AJ26" s="44"/>
      <c r="AK26" s="44"/>
      <c r="AL26" s="44"/>
      <c r="AM26" s="44"/>
      <c r="AN26" s="44"/>
      <c r="AO26" s="44"/>
      <c r="AP26" s="44"/>
      <c r="AQ26" s="44"/>
      <c r="AR26" s="44"/>
      <c r="AS26" s="44"/>
      <c r="AT26" s="44"/>
      <c r="AU26" s="44"/>
      <c r="AV26" s="44"/>
      <c r="AW26" s="44"/>
    </row>
    <row r="27" spans="1:49" ht="74.25" customHeight="1" x14ac:dyDescent="0.25">
      <c r="A27" s="29" t="s">
        <v>11</v>
      </c>
      <c r="B27" s="70"/>
      <c r="C27" s="70"/>
      <c r="D27" s="70"/>
      <c r="E27" s="4"/>
      <c r="F27" s="4"/>
      <c r="G27" s="75"/>
      <c r="H27" s="44"/>
      <c r="I27" s="44"/>
      <c r="J27" s="44"/>
      <c r="K27" s="44"/>
      <c r="L27" s="44"/>
      <c r="M27" s="44"/>
      <c r="N27" s="44"/>
      <c r="O27" s="44"/>
      <c r="P27" s="44"/>
      <c r="Q27" s="44"/>
      <c r="R27" s="44"/>
      <c r="S27" s="44"/>
      <c r="T27" s="44"/>
      <c r="U27" s="44"/>
      <c r="V27" s="44"/>
      <c r="W27" s="44"/>
      <c r="X27" s="44"/>
      <c r="Y27" s="44"/>
      <c r="Z27" s="44"/>
      <c r="AA27" s="44"/>
      <c r="AB27" s="44"/>
      <c r="AC27" s="44"/>
      <c r="AD27" s="44"/>
      <c r="AE27" s="44"/>
      <c r="AF27" s="44"/>
      <c r="AG27" s="44"/>
      <c r="AH27" s="44"/>
      <c r="AI27" s="44"/>
      <c r="AJ27" s="44"/>
      <c r="AK27" s="44"/>
      <c r="AL27" s="44"/>
      <c r="AM27" s="44"/>
      <c r="AN27" s="44"/>
      <c r="AO27" s="44"/>
      <c r="AP27" s="44"/>
      <c r="AQ27" s="44"/>
      <c r="AR27" s="44"/>
      <c r="AS27" s="44"/>
      <c r="AT27" s="44"/>
      <c r="AU27" s="44"/>
      <c r="AV27" s="44"/>
      <c r="AW27" s="44"/>
    </row>
    <row r="28" spans="1:49" ht="19.5" customHeight="1" x14ac:dyDescent="0.25">
      <c r="A28" s="29" t="s">
        <v>12</v>
      </c>
      <c r="B28" s="74">
        <v>195</v>
      </c>
      <c r="C28" s="74">
        <v>390</v>
      </c>
      <c r="D28" s="74">
        <v>585</v>
      </c>
      <c r="E28" s="4"/>
      <c r="F28" s="4"/>
      <c r="G28" s="75"/>
      <c r="H28" s="44"/>
      <c r="I28" s="44"/>
      <c r="J28" s="44"/>
      <c r="K28" s="44"/>
      <c r="L28" s="44"/>
      <c r="M28" s="44"/>
      <c r="N28" s="44"/>
      <c r="O28" s="44"/>
      <c r="P28" s="44"/>
      <c r="Q28" s="44"/>
      <c r="R28" s="44"/>
      <c r="S28" s="44"/>
      <c r="T28" s="44"/>
      <c r="U28" s="44"/>
      <c r="V28" s="44"/>
      <c r="W28" s="44"/>
      <c r="X28" s="44"/>
      <c r="Y28" s="44"/>
      <c r="Z28" s="44"/>
      <c r="AA28" s="44"/>
      <c r="AB28" s="44"/>
      <c r="AC28" s="44"/>
      <c r="AD28" s="44"/>
      <c r="AE28" s="44"/>
      <c r="AF28" s="44"/>
      <c r="AG28" s="44"/>
      <c r="AH28" s="44"/>
      <c r="AI28" s="44"/>
      <c r="AJ28" s="44"/>
      <c r="AK28" s="44"/>
      <c r="AL28" s="44"/>
      <c r="AM28" s="44"/>
      <c r="AN28" s="44"/>
      <c r="AO28" s="44"/>
      <c r="AP28" s="44"/>
      <c r="AQ28" s="44"/>
      <c r="AR28" s="44"/>
      <c r="AS28" s="44"/>
      <c r="AT28" s="44"/>
      <c r="AU28" s="44"/>
      <c r="AV28" s="44"/>
      <c r="AW28" s="44"/>
    </row>
    <row r="29" spans="1:49" ht="15.75" x14ac:dyDescent="0.25">
      <c r="A29" s="7"/>
      <c r="B29" s="4"/>
      <c r="C29" s="4"/>
      <c r="D29" s="4"/>
      <c r="E29" s="4"/>
      <c r="F29" s="4"/>
      <c r="G29" s="75"/>
      <c r="H29" s="44"/>
      <c r="I29" s="44"/>
      <c r="J29" s="44"/>
      <c r="K29" s="44"/>
      <c r="L29" s="44"/>
      <c r="M29" s="44"/>
      <c r="N29" s="44"/>
      <c r="O29" s="44"/>
      <c r="P29" s="44"/>
      <c r="Q29" s="44"/>
      <c r="R29" s="44"/>
      <c r="S29" s="44"/>
      <c r="T29" s="44"/>
      <c r="U29" s="44"/>
      <c r="V29" s="44"/>
      <c r="W29" s="44"/>
      <c r="X29" s="44"/>
      <c r="Y29" s="44"/>
      <c r="Z29" s="44"/>
      <c r="AA29" s="44"/>
      <c r="AB29" s="44"/>
      <c r="AC29" s="44"/>
      <c r="AD29" s="44"/>
      <c r="AE29" s="44"/>
      <c r="AF29" s="44"/>
      <c r="AG29" s="44"/>
      <c r="AH29" s="44"/>
      <c r="AI29" s="44"/>
      <c r="AJ29" s="44"/>
      <c r="AK29" s="44"/>
      <c r="AL29" s="44"/>
      <c r="AM29" s="44"/>
      <c r="AN29" s="44"/>
      <c r="AO29" s="44"/>
      <c r="AP29" s="44"/>
      <c r="AQ29" s="44"/>
      <c r="AR29" s="44"/>
      <c r="AS29" s="44"/>
      <c r="AT29" s="44"/>
      <c r="AU29" s="44"/>
      <c r="AV29" s="44"/>
      <c r="AW29" s="44"/>
    </row>
    <row r="30" spans="1:49" x14ac:dyDescent="0.25">
      <c r="A30" s="75"/>
      <c r="B30" s="75"/>
      <c r="C30" s="75"/>
      <c r="D30" s="75"/>
      <c r="E30" s="75"/>
      <c r="F30" s="75"/>
      <c r="G30" s="75"/>
      <c r="H30" s="44"/>
      <c r="I30" s="44"/>
      <c r="J30" s="44"/>
      <c r="K30" s="44"/>
      <c r="L30" s="44"/>
      <c r="M30" s="44"/>
      <c r="N30" s="44"/>
      <c r="O30" s="44"/>
      <c r="P30" s="44"/>
      <c r="Q30" s="44"/>
      <c r="R30" s="44"/>
      <c r="S30" s="44"/>
      <c r="T30" s="44"/>
      <c r="U30" s="44"/>
      <c r="V30" s="44"/>
      <c r="W30" s="44"/>
      <c r="X30" s="44"/>
      <c r="Y30" s="44"/>
      <c r="Z30" s="44"/>
      <c r="AA30" s="44"/>
      <c r="AB30" s="44"/>
      <c r="AC30" s="44"/>
      <c r="AD30" s="44"/>
      <c r="AE30" s="44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4"/>
      <c r="AT30" s="44"/>
      <c r="AU30" s="44"/>
      <c r="AV30" s="44"/>
      <c r="AW30" s="44"/>
    </row>
    <row r="31" spans="1:49" x14ac:dyDescent="0.25">
      <c r="A31" s="75"/>
      <c r="B31" s="75"/>
      <c r="C31" s="75"/>
      <c r="D31" s="75"/>
      <c r="E31" s="75"/>
      <c r="F31" s="75"/>
      <c r="G31" s="75"/>
      <c r="H31" s="44"/>
      <c r="I31" s="44"/>
      <c r="J31" s="44"/>
      <c r="K31" s="44"/>
      <c r="L31" s="44"/>
      <c r="M31" s="44"/>
      <c r="N31" s="44"/>
      <c r="O31" s="44"/>
      <c r="P31" s="44"/>
      <c r="Q31" s="44"/>
      <c r="R31" s="44"/>
      <c r="S31" s="44"/>
      <c r="T31" s="44"/>
      <c r="U31" s="44"/>
      <c r="V31" s="44"/>
      <c r="W31" s="44"/>
      <c r="X31" s="44"/>
      <c r="Y31" s="44"/>
      <c r="Z31" s="44"/>
      <c r="AA31" s="44"/>
      <c r="AB31" s="44"/>
      <c r="AC31" s="44"/>
      <c r="AD31" s="44"/>
      <c r="AE31" s="44"/>
      <c r="AF31" s="44"/>
      <c r="AG31" s="44"/>
      <c r="AH31" s="44"/>
      <c r="AI31" s="44"/>
      <c r="AJ31" s="44"/>
      <c r="AK31" s="44"/>
      <c r="AL31" s="44"/>
      <c r="AM31" s="44"/>
      <c r="AN31" s="44"/>
      <c r="AO31" s="44"/>
      <c r="AP31" s="44"/>
      <c r="AQ31" s="44"/>
      <c r="AR31" s="44"/>
      <c r="AS31" s="44"/>
      <c r="AT31" s="44"/>
      <c r="AU31" s="44"/>
      <c r="AV31" s="44"/>
      <c r="AW31" s="44"/>
    </row>
    <row r="32" spans="1:49" x14ac:dyDescent="0.25">
      <c r="A32" s="75"/>
      <c r="B32" s="75"/>
      <c r="C32" s="75"/>
      <c r="D32" s="75"/>
      <c r="E32" s="75"/>
      <c r="F32" s="75"/>
      <c r="G32" s="75"/>
      <c r="H32" s="44"/>
      <c r="I32" s="44"/>
      <c r="J32" s="44"/>
      <c r="K32" s="44"/>
      <c r="L32" s="44"/>
      <c r="M32" s="44"/>
      <c r="N32" s="44"/>
      <c r="O32" s="44"/>
      <c r="P32" s="44"/>
      <c r="Q32" s="44"/>
      <c r="R32" s="44"/>
      <c r="S32" s="44"/>
      <c r="T32" s="44"/>
      <c r="U32" s="44"/>
      <c r="V32" s="44"/>
      <c r="W32" s="44"/>
      <c r="X32" s="44"/>
      <c r="Y32" s="44"/>
      <c r="Z32" s="44"/>
      <c r="AA32" s="44"/>
      <c r="AB32" s="44"/>
      <c r="AC32" s="44"/>
      <c r="AD32" s="44"/>
      <c r="AE32" s="44"/>
      <c r="AF32" s="44"/>
      <c r="AG32" s="44"/>
      <c r="AH32" s="44"/>
      <c r="AI32" s="44"/>
      <c r="AJ32" s="44"/>
      <c r="AK32" s="44"/>
      <c r="AL32" s="44"/>
      <c r="AM32" s="44"/>
      <c r="AN32" s="44"/>
      <c r="AO32" s="44"/>
      <c r="AP32" s="44"/>
      <c r="AQ32" s="44"/>
      <c r="AR32" s="44"/>
      <c r="AS32" s="44"/>
      <c r="AT32" s="44"/>
      <c r="AU32" s="44"/>
      <c r="AV32" s="44"/>
      <c r="AW32" s="44"/>
    </row>
    <row r="33" spans="1:49" x14ac:dyDescent="0.25">
      <c r="A33" s="44"/>
      <c r="B33" s="44"/>
      <c r="C33" s="44"/>
      <c r="D33" s="44"/>
      <c r="E33" s="44"/>
      <c r="F33" s="44"/>
      <c r="G33" s="44"/>
      <c r="H33" s="44"/>
      <c r="I33" s="44"/>
      <c r="J33" s="44"/>
      <c r="K33" s="44"/>
      <c r="L33" s="44"/>
      <c r="M33" s="44"/>
      <c r="N33" s="44"/>
      <c r="O33" s="44"/>
      <c r="P33" s="44"/>
      <c r="Q33" s="44"/>
      <c r="R33" s="44"/>
      <c r="S33" s="44"/>
      <c r="T33" s="44"/>
      <c r="U33" s="44"/>
      <c r="V33" s="44"/>
      <c r="W33" s="44"/>
      <c r="X33" s="44"/>
      <c r="Y33" s="44"/>
      <c r="Z33" s="44"/>
      <c r="AA33" s="44"/>
      <c r="AB33" s="44"/>
      <c r="AC33" s="44"/>
      <c r="AD33" s="44"/>
      <c r="AE33" s="44"/>
      <c r="AF33" s="44"/>
      <c r="AG33" s="44"/>
      <c r="AH33" s="44"/>
      <c r="AI33" s="44"/>
      <c r="AJ33" s="44"/>
      <c r="AK33" s="44"/>
      <c r="AL33" s="44"/>
      <c r="AM33" s="44"/>
      <c r="AN33" s="44"/>
      <c r="AO33" s="44"/>
      <c r="AP33" s="44"/>
      <c r="AQ33" s="44"/>
      <c r="AR33" s="44"/>
      <c r="AS33" s="44"/>
      <c r="AT33" s="44"/>
      <c r="AU33" s="44"/>
      <c r="AV33" s="44"/>
      <c r="AW33" s="44"/>
    </row>
    <row r="34" spans="1:49" x14ac:dyDescent="0.25">
      <c r="A34" s="44"/>
      <c r="B34" s="44"/>
      <c r="C34" s="44"/>
      <c r="D34" s="44"/>
      <c r="E34" s="44"/>
      <c r="F34" s="44"/>
      <c r="G34" s="44"/>
      <c r="H34" s="44"/>
      <c r="I34" s="44"/>
      <c r="J34" s="44"/>
      <c r="K34" s="44"/>
      <c r="L34" s="44"/>
      <c r="M34" s="44"/>
      <c r="N34" s="44"/>
      <c r="O34" s="44"/>
      <c r="P34" s="44"/>
      <c r="Q34" s="44"/>
      <c r="R34" s="44"/>
      <c r="S34" s="44"/>
      <c r="T34" s="44"/>
      <c r="U34" s="44"/>
      <c r="V34" s="44"/>
      <c r="W34" s="44"/>
      <c r="X34" s="44"/>
      <c r="Y34" s="44"/>
      <c r="Z34" s="44"/>
      <c r="AA34" s="44"/>
      <c r="AB34" s="44"/>
      <c r="AC34" s="44"/>
      <c r="AD34" s="44"/>
      <c r="AE34" s="44"/>
      <c r="AF34" s="44"/>
      <c r="AG34" s="44"/>
      <c r="AH34" s="44"/>
      <c r="AI34" s="44"/>
      <c r="AJ34" s="44"/>
      <c r="AK34" s="44"/>
      <c r="AL34" s="44"/>
      <c r="AM34" s="44"/>
      <c r="AN34" s="44"/>
      <c r="AO34" s="44"/>
      <c r="AP34" s="44"/>
      <c r="AQ34" s="44"/>
      <c r="AR34" s="44"/>
      <c r="AS34" s="44"/>
      <c r="AT34" s="44"/>
      <c r="AU34" s="44"/>
      <c r="AV34" s="44"/>
      <c r="AW34" s="44"/>
    </row>
    <row r="35" spans="1:49" x14ac:dyDescent="0.25">
      <c r="A35" s="44"/>
      <c r="B35" s="44"/>
      <c r="C35" s="44"/>
      <c r="D35" s="44"/>
      <c r="E35" s="44"/>
      <c r="F35" s="44"/>
      <c r="G35" s="44"/>
      <c r="H35" s="44"/>
      <c r="I35" s="44"/>
      <c r="J35" s="44"/>
      <c r="K35" s="44"/>
      <c r="L35" s="44"/>
      <c r="M35" s="44"/>
      <c r="N35" s="44"/>
      <c r="O35" s="44"/>
      <c r="P35" s="44"/>
      <c r="Q35" s="44"/>
      <c r="R35" s="44"/>
      <c r="S35" s="44"/>
      <c r="T35" s="44"/>
      <c r="U35" s="44"/>
      <c r="V35" s="44"/>
      <c r="W35" s="44"/>
      <c r="X35" s="44"/>
      <c r="Y35" s="44"/>
      <c r="Z35" s="44"/>
      <c r="AA35" s="44"/>
      <c r="AB35" s="44"/>
      <c r="AC35" s="44"/>
      <c r="AD35" s="44"/>
      <c r="AE35" s="44"/>
      <c r="AF35" s="44"/>
      <c r="AG35" s="44"/>
      <c r="AH35" s="44"/>
      <c r="AI35" s="44"/>
      <c r="AJ35" s="44"/>
      <c r="AK35" s="44"/>
      <c r="AL35" s="44"/>
      <c r="AM35" s="44"/>
      <c r="AN35" s="44"/>
      <c r="AO35" s="44"/>
      <c r="AP35" s="44"/>
      <c r="AQ35" s="44"/>
      <c r="AR35" s="44"/>
      <c r="AS35" s="44"/>
      <c r="AT35" s="44"/>
      <c r="AU35" s="44"/>
      <c r="AV35" s="44"/>
      <c r="AW35" s="44"/>
    </row>
    <row r="36" spans="1:49" x14ac:dyDescent="0.25">
      <c r="A36" s="44"/>
      <c r="B36" s="44"/>
      <c r="C36" s="44"/>
      <c r="D36" s="44"/>
      <c r="E36" s="44"/>
      <c r="F36" s="44"/>
      <c r="G36" s="44"/>
      <c r="H36" s="44"/>
      <c r="I36" s="44"/>
      <c r="J36" s="44"/>
      <c r="K36" s="44"/>
      <c r="L36" s="44"/>
      <c r="M36" s="44"/>
      <c r="N36" s="44"/>
      <c r="O36" s="44"/>
      <c r="P36" s="44"/>
      <c r="Q36" s="44"/>
      <c r="R36" s="44"/>
      <c r="S36" s="44"/>
      <c r="T36" s="44"/>
      <c r="U36" s="44"/>
      <c r="V36" s="44"/>
      <c r="W36" s="44"/>
      <c r="X36" s="44"/>
      <c r="Y36" s="44"/>
      <c r="Z36" s="44"/>
      <c r="AA36" s="44"/>
      <c r="AB36" s="44"/>
      <c r="AC36" s="44"/>
      <c r="AD36" s="44"/>
      <c r="AE36" s="44"/>
      <c r="AF36" s="44"/>
      <c r="AG36" s="44"/>
      <c r="AH36" s="44"/>
      <c r="AI36" s="44"/>
      <c r="AJ36" s="44"/>
      <c r="AK36" s="44"/>
      <c r="AL36" s="44"/>
      <c r="AM36" s="44"/>
      <c r="AN36" s="44"/>
      <c r="AO36" s="44"/>
      <c r="AP36" s="44"/>
      <c r="AQ36" s="44"/>
      <c r="AR36" s="44"/>
      <c r="AS36" s="44"/>
      <c r="AT36" s="44"/>
      <c r="AU36" s="44"/>
      <c r="AV36" s="44"/>
      <c r="AW36" s="44"/>
    </row>
    <row r="37" spans="1:49" x14ac:dyDescent="0.25">
      <c r="A37" s="44"/>
      <c r="B37" s="44"/>
      <c r="C37" s="44"/>
      <c r="D37" s="44"/>
      <c r="E37" s="44"/>
      <c r="F37" s="44"/>
      <c r="G37" s="44"/>
      <c r="H37" s="44"/>
      <c r="I37" s="44"/>
      <c r="J37" s="44"/>
      <c r="K37" s="44"/>
      <c r="L37" s="44"/>
      <c r="M37" s="44"/>
      <c r="N37" s="44"/>
      <c r="O37" s="44"/>
      <c r="P37" s="44"/>
      <c r="Q37" s="44"/>
      <c r="R37" s="44"/>
      <c r="S37" s="44"/>
      <c r="T37" s="44"/>
      <c r="U37" s="44"/>
      <c r="V37" s="44"/>
      <c r="W37" s="44"/>
      <c r="X37" s="44"/>
      <c r="Y37" s="44"/>
      <c r="Z37" s="44"/>
      <c r="AA37" s="44"/>
      <c r="AB37" s="44"/>
      <c r="AC37" s="44"/>
      <c r="AD37" s="44"/>
      <c r="AE37" s="44"/>
      <c r="AF37" s="44"/>
      <c r="AG37" s="44"/>
      <c r="AH37" s="44"/>
      <c r="AI37" s="44"/>
      <c r="AJ37" s="44"/>
      <c r="AK37" s="44"/>
      <c r="AL37" s="44"/>
      <c r="AM37" s="44"/>
      <c r="AN37" s="44"/>
      <c r="AO37" s="44"/>
      <c r="AP37" s="44"/>
      <c r="AQ37" s="44"/>
      <c r="AR37" s="44"/>
      <c r="AS37" s="44"/>
      <c r="AT37" s="44"/>
      <c r="AU37" s="44"/>
      <c r="AV37" s="44"/>
      <c r="AW37" s="44"/>
    </row>
    <row r="38" spans="1:49" x14ac:dyDescent="0.25">
      <c r="A38" s="44"/>
      <c r="B38" s="44"/>
      <c r="C38" s="44"/>
      <c r="D38" s="44"/>
      <c r="E38" s="44"/>
      <c r="F38" s="44"/>
      <c r="G38" s="44"/>
      <c r="H38" s="44"/>
      <c r="I38" s="44"/>
      <c r="J38" s="44"/>
      <c r="K38" s="44"/>
      <c r="L38" s="44"/>
      <c r="M38" s="44"/>
      <c r="N38" s="44"/>
      <c r="O38" s="44"/>
      <c r="P38" s="44"/>
      <c r="Q38" s="44"/>
      <c r="R38" s="44"/>
      <c r="S38" s="44"/>
      <c r="T38" s="44"/>
      <c r="U38" s="44"/>
      <c r="V38" s="44"/>
      <c r="W38" s="44"/>
      <c r="X38" s="44"/>
      <c r="Y38" s="44"/>
      <c r="Z38" s="44"/>
      <c r="AA38" s="44"/>
      <c r="AB38" s="44"/>
      <c r="AC38" s="44"/>
      <c r="AD38" s="44"/>
      <c r="AE38" s="44"/>
      <c r="AF38" s="44"/>
      <c r="AG38" s="44"/>
      <c r="AH38" s="44"/>
      <c r="AI38" s="44"/>
      <c r="AJ38" s="44"/>
      <c r="AK38" s="44"/>
      <c r="AL38" s="44"/>
      <c r="AM38" s="44"/>
      <c r="AN38" s="44"/>
      <c r="AO38" s="44"/>
      <c r="AP38" s="44"/>
      <c r="AQ38" s="44"/>
      <c r="AR38" s="44"/>
      <c r="AS38" s="44"/>
      <c r="AT38" s="44"/>
      <c r="AU38" s="44"/>
      <c r="AV38" s="44"/>
      <c r="AW38" s="44"/>
    </row>
    <row r="39" spans="1:49" x14ac:dyDescent="0.25">
      <c r="A39" s="44"/>
      <c r="B39" s="44"/>
      <c r="C39" s="44"/>
      <c r="D39" s="44"/>
      <c r="E39" s="44"/>
      <c r="F39" s="44"/>
      <c r="G39" s="44"/>
      <c r="H39" s="44"/>
      <c r="I39" s="44"/>
      <c r="J39" s="44"/>
      <c r="K39" s="44"/>
      <c r="L39" s="44"/>
      <c r="M39" s="44"/>
      <c r="N39" s="44"/>
      <c r="O39" s="44"/>
      <c r="P39" s="44"/>
      <c r="Q39" s="44"/>
      <c r="R39" s="44"/>
      <c r="S39" s="44"/>
      <c r="T39" s="44"/>
      <c r="U39" s="44"/>
      <c r="V39" s="44"/>
      <c r="W39" s="44"/>
      <c r="X39" s="44"/>
      <c r="Y39" s="44"/>
      <c r="Z39" s="44"/>
      <c r="AA39" s="44"/>
      <c r="AB39" s="44"/>
      <c r="AC39" s="44"/>
      <c r="AD39" s="44"/>
      <c r="AE39" s="44"/>
      <c r="AF39" s="44"/>
      <c r="AG39" s="44"/>
    </row>
    <row r="40" spans="1:49" x14ac:dyDescent="0.25">
      <c r="A40" s="44"/>
      <c r="B40" s="44"/>
      <c r="C40" s="44"/>
      <c r="D40" s="44"/>
      <c r="E40" s="44"/>
      <c r="F40" s="44"/>
      <c r="G40" s="44"/>
      <c r="H40" s="44"/>
      <c r="I40" s="44"/>
      <c r="J40" s="44"/>
      <c r="K40" s="44"/>
      <c r="L40" s="44"/>
      <c r="M40" s="44"/>
      <c r="N40" s="44"/>
      <c r="O40" s="44"/>
      <c r="P40" s="44"/>
      <c r="Q40" s="44"/>
      <c r="R40" s="44"/>
      <c r="S40" s="44"/>
      <c r="T40" s="44"/>
      <c r="U40" s="44"/>
      <c r="V40" s="44"/>
      <c r="W40" s="44"/>
      <c r="X40" s="44"/>
      <c r="Y40" s="44"/>
      <c r="Z40" s="44"/>
      <c r="AA40" s="44"/>
      <c r="AB40" s="44"/>
      <c r="AC40" s="44"/>
      <c r="AD40" s="44"/>
      <c r="AE40" s="44"/>
      <c r="AF40" s="44"/>
      <c r="AG40" s="44"/>
    </row>
    <row r="41" spans="1:49" x14ac:dyDescent="0.25">
      <c r="A41" s="44"/>
      <c r="B41" s="44"/>
      <c r="C41" s="44"/>
      <c r="D41" s="44"/>
      <c r="E41" s="44"/>
      <c r="F41" s="44"/>
      <c r="G41" s="44"/>
      <c r="H41" s="44"/>
      <c r="I41" s="44"/>
      <c r="J41" s="44"/>
      <c r="K41" s="44"/>
      <c r="L41" s="44"/>
      <c r="M41" s="44"/>
      <c r="N41" s="44"/>
      <c r="O41" s="44"/>
      <c r="P41" s="44"/>
      <c r="Q41" s="44"/>
      <c r="R41" s="44"/>
      <c r="S41" s="44"/>
      <c r="T41" s="44"/>
      <c r="U41" s="44"/>
      <c r="V41" s="44"/>
      <c r="W41" s="44"/>
      <c r="X41" s="44"/>
      <c r="Y41" s="44"/>
      <c r="Z41" s="44"/>
      <c r="AA41" s="44"/>
      <c r="AB41" s="44"/>
      <c r="AC41" s="44"/>
      <c r="AD41" s="44"/>
      <c r="AE41" s="44"/>
      <c r="AF41" s="44"/>
      <c r="AG41" s="44"/>
    </row>
    <row r="42" spans="1:49" x14ac:dyDescent="0.25">
      <c r="A42" s="44"/>
      <c r="B42" s="44"/>
      <c r="C42" s="44"/>
      <c r="D42" s="44"/>
      <c r="E42" s="44"/>
      <c r="F42" s="44"/>
      <c r="G42" s="44"/>
      <c r="H42" s="44"/>
      <c r="I42" s="44"/>
      <c r="J42" s="44"/>
      <c r="K42" s="44"/>
      <c r="L42" s="44"/>
      <c r="M42" s="44"/>
      <c r="N42" s="44"/>
      <c r="O42" s="44"/>
      <c r="P42" s="44"/>
      <c r="Q42" s="44"/>
      <c r="R42" s="44"/>
      <c r="S42" s="44"/>
      <c r="T42" s="44"/>
      <c r="U42" s="44"/>
      <c r="V42" s="44"/>
      <c r="W42" s="44"/>
      <c r="X42" s="44"/>
      <c r="Y42" s="44"/>
      <c r="Z42" s="44"/>
      <c r="AA42" s="44"/>
      <c r="AB42" s="44"/>
      <c r="AC42" s="44"/>
      <c r="AD42" s="44"/>
      <c r="AE42" s="44"/>
      <c r="AF42" s="44"/>
      <c r="AG42" s="44"/>
    </row>
    <row r="43" spans="1:49" x14ac:dyDescent="0.25">
      <c r="A43" s="44"/>
      <c r="B43" s="44"/>
      <c r="C43" s="44"/>
      <c r="D43" s="44"/>
      <c r="E43" s="44"/>
      <c r="F43" s="44"/>
      <c r="G43" s="44"/>
      <c r="H43" s="44"/>
      <c r="I43" s="44"/>
      <c r="J43" s="44"/>
      <c r="K43" s="44"/>
      <c r="L43" s="44"/>
      <c r="M43" s="44"/>
      <c r="N43" s="44"/>
      <c r="O43" s="44"/>
      <c r="P43" s="44"/>
      <c r="Q43" s="44"/>
      <c r="R43" s="44"/>
      <c r="S43" s="44"/>
      <c r="T43" s="44"/>
      <c r="U43" s="44"/>
      <c r="V43" s="44"/>
      <c r="W43" s="44"/>
      <c r="X43" s="44"/>
      <c r="Y43" s="44"/>
      <c r="Z43" s="44"/>
      <c r="AA43" s="44"/>
      <c r="AB43" s="44"/>
      <c r="AC43" s="44"/>
      <c r="AD43" s="44"/>
      <c r="AE43" s="44"/>
      <c r="AF43" s="44"/>
      <c r="AG43" s="44"/>
    </row>
    <row r="44" spans="1:49" x14ac:dyDescent="0.25">
      <c r="A44" s="44"/>
      <c r="B44" s="44"/>
      <c r="C44" s="44"/>
      <c r="D44" s="44"/>
      <c r="E44" s="44"/>
      <c r="F44" s="44"/>
      <c r="G44" s="44"/>
      <c r="H44" s="44"/>
      <c r="I44" s="44"/>
      <c r="J44" s="44"/>
      <c r="K44" s="44"/>
      <c r="L44" s="44"/>
      <c r="M44" s="44"/>
      <c r="N44" s="44"/>
      <c r="O44" s="44"/>
      <c r="P44" s="44"/>
      <c r="Q44" s="44"/>
      <c r="R44" s="44"/>
      <c r="S44" s="44"/>
      <c r="T44" s="44"/>
      <c r="U44" s="44"/>
      <c r="V44" s="44"/>
      <c r="W44" s="44"/>
      <c r="X44" s="44"/>
      <c r="Y44" s="44"/>
      <c r="Z44" s="44"/>
      <c r="AA44" s="44"/>
      <c r="AB44" s="44"/>
      <c r="AC44" s="44"/>
      <c r="AD44" s="44"/>
      <c r="AE44" s="44"/>
      <c r="AF44" s="44"/>
      <c r="AG44" s="44"/>
    </row>
    <row r="45" spans="1:49" x14ac:dyDescent="0.25">
      <c r="A45" s="44"/>
      <c r="B45" s="44"/>
      <c r="C45" s="44"/>
      <c r="D45" s="44"/>
      <c r="E45" s="44"/>
      <c r="F45" s="44"/>
      <c r="G45" s="44"/>
      <c r="H45" s="44"/>
      <c r="I45" s="44"/>
      <c r="J45" s="44"/>
      <c r="K45" s="44"/>
      <c r="L45" s="44"/>
      <c r="M45" s="44"/>
      <c r="N45" s="44"/>
      <c r="O45" s="44"/>
      <c r="P45" s="44"/>
      <c r="Q45" s="44"/>
      <c r="R45" s="44"/>
      <c r="S45" s="44"/>
      <c r="T45" s="44"/>
      <c r="U45" s="44"/>
      <c r="V45" s="44"/>
      <c r="W45" s="44"/>
      <c r="X45" s="44"/>
      <c r="Y45" s="44"/>
      <c r="Z45" s="44"/>
      <c r="AA45" s="44"/>
      <c r="AB45" s="44"/>
      <c r="AC45" s="44"/>
      <c r="AD45" s="44"/>
      <c r="AE45" s="44"/>
      <c r="AF45" s="44"/>
      <c r="AG45" s="44"/>
    </row>
    <row r="46" spans="1:49" x14ac:dyDescent="0.25">
      <c r="A46" s="44"/>
      <c r="B46" s="44"/>
      <c r="C46" s="44"/>
      <c r="D46" s="44"/>
      <c r="E46" s="44"/>
      <c r="F46" s="44"/>
      <c r="G46" s="44"/>
      <c r="H46" s="44"/>
      <c r="I46" s="44"/>
      <c r="J46" s="44"/>
      <c r="K46" s="44"/>
      <c r="L46" s="44"/>
      <c r="M46" s="44"/>
      <c r="N46" s="44"/>
      <c r="O46" s="44"/>
      <c r="P46" s="44"/>
      <c r="Q46" s="44"/>
      <c r="R46" s="44"/>
      <c r="S46" s="44"/>
      <c r="T46" s="44"/>
      <c r="U46" s="44"/>
      <c r="V46" s="44"/>
      <c r="W46" s="44"/>
      <c r="X46" s="44"/>
      <c r="Y46" s="44"/>
      <c r="Z46" s="44"/>
      <c r="AA46" s="44"/>
      <c r="AB46" s="44"/>
      <c r="AC46" s="44"/>
      <c r="AD46" s="44"/>
      <c r="AE46" s="44"/>
      <c r="AF46" s="44"/>
      <c r="AG46" s="44"/>
    </row>
    <row r="47" spans="1:49" x14ac:dyDescent="0.25">
      <c r="A47" s="44"/>
      <c r="B47" s="44"/>
      <c r="C47" s="44"/>
      <c r="D47" s="44"/>
      <c r="E47" s="44"/>
      <c r="F47" s="44"/>
      <c r="G47" s="44"/>
      <c r="H47" s="44"/>
      <c r="I47" s="44"/>
      <c r="J47" s="44"/>
      <c r="K47" s="44"/>
      <c r="L47" s="44"/>
      <c r="M47" s="44"/>
      <c r="N47" s="44"/>
      <c r="O47" s="44"/>
      <c r="P47" s="44"/>
      <c r="Q47" s="44"/>
      <c r="R47" s="44"/>
      <c r="S47" s="44"/>
      <c r="T47" s="44"/>
      <c r="U47" s="44"/>
      <c r="V47" s="44"/>
      <c r="W47" s="44"/>
      <c r="X47" s="44"/>
      <c r="Y47" s="44"/>
      <c r="Z47" s="44"/>
      <c r="AA47" s="44"/>
      <c r="AB47" s="44"/>
      <c r="AC47" s="44"/>
      <c r="AD47" s="44"/>
      <c r="AE47" s="44"/>
      <c r="AF47" s="44"/>
      <c r="AG47" s="44"/>
    </row>
    <row r="48" spans="1:49" x14ac:dyDescent="0.25">
      <c r="A48" s="44"/>
      <c r="B48" s="44"/>
      <c r="C48" s="44"/>
      <c r="D48" s="44"/>
      <c r="E48" s="44"/>
      <c r="F48" s="44"/>
      <c r="G48" s="44"/>
      <c r="H48" s="44"/>
      <c r="I48" s="44"/>
      <c r="J48" s="44"/>
      <c r="K48" s="44"/>
      <c r="L48" s="44"/>
      <c r="M48" s="44"/>
      <c r="N48" s="44"/>
      <c r="O48" s="44"/>
      <c r="P48" s="44"/>
      <c r="Q48" s="44"/>
      <c r="R48" s="44"/>
      <c r="S48" s="44"/>
      <c r="T48" s="44"/>
      <c r="U48" s="44"/>
      <c r="V48" s="44"/>
      <c r="W48" s="44"/>
      <c r="X48" s="44"/>
      <c r="Y48" s="44"/>
      <c r="Z48" s="44"/>
      <c r="AA48" s="44"/>
      <c r="AB48" s="44"/>
      <c r="AC48" s="44"/>
      <c r="AD48" s="44"/>
      <c r="AE48" s="44"/>
      <c r="AF48" s="44"/>
      <c r="AG48" s="44"/>
    </row>
    <row r="49" spans="1:33" x14ac:dyDescent="0.25">
      <c r="A49" s="44"/>
      <c r="B49" s="44"/>
      <c r="C49" s="44"/>
      <c r="D49" s="44"/>
      <c r="E49" s="44"/>
      <c r="F49" s="44"/>
      <c r="G49" s="44"/>
      <c r="H49" s="44"/>
      <c r="I49" s="44"/>
      <c r="J49" s="44"/>
      <c r="K49" s="44"/>
      <c r="L49" s="44"/>
      <c r="M49" s="44"/>
      <c r="N49" s="44"/>
      <c r="O49" s="44"/>
      <c r="P49" s="44"/>
      <c r="Q49" s="44"/>
      <c r="R49" s="44"/>
      <c r="S49" s="44"/>
      <c r="T49" s="44"/>
      <c r="U49" s="44"/>
      <c r="V49" s="44"/>
      <c r="W49" s="44"/>
      <c r="X49" s="44"/>
      <c r="Y49" s="44"/>
      <c r="Z49" s="44"/>
      <c r="AA49" s="44"/>
      <c r="AB49" s="44"/>
      <c r="AC49" s="44"/>
      <c r="AD49" s="44"/>
      <c r="AE49" s="44"/>
      <c r="AF49" s="44"/>
      <c r="AG49" s="44"/>
    </row>
    <row r="50" spans="1:33" x14ac:dyDescent="0.25">
      <c r="A50" s="44"/>
      <c r="B50" s="44"/>
      <c r="C50" s="44"/>
      <c r="D50" s="44"/>
      <c r="E50" s="44"/>
      <c r="F50" s="44"/>
      <c r="G50" s="44"/>
      <c r="H50" s="44"/>
      <c r="I50" s="44"/>
      <c r="J50" s="44"/>
      <c r="K50" s="44"/>
      <c r="L50" s="44"/>
      <c r="M50" s="44"/>
      <c r="N50" s="44"/>
      <c r="O50" s="44"/>
      <c r="P50" s="44"/>
      <c r="Q50" s="44"/>
      <c r="R50" s="44"/>
      <c r="S50" s="44"/>
      <c r="T50" s="44"/>
      <c r="U50" s="44"/>
      <c r="V50" s="44"/>
      <c r="W50" s="44"/>
      <c r="X50" s="44"/>
      <c r="Y50" s="44"/>
      <c r="Z50" s="44"/>
      <c r="AA50" s="44"/>
      <c r="AB50" s="44"/>
      <c r="AC50" s="44"/>
      <c r="AD50" s="44"/>
      <c r="AE50" s="44"/>
      <c r="AF50" s="44"/>
      <c r="AG50" s="44"/>
    </row>
    <row r="51" spans="1:33" x14ac:dyDescent="0.25">
      <c r="A51" s="44"/>
      <c r="B51" s="44"/>
      <c r="C51" s="44"/>
      <c r="D51" s="44"/>
      <c r="E51" s="44"/>
      <c r="F51" s="44"/>
      <c r="G51" s="44"/>
      <c r="H51" s="44"/>
      <c r="I51" s="44"/>
      <c r="J51" s="44"/>
      <c r="K51" s="44"/>
      <c r="L51" s="44"/>
      <c r="M51" s="44"/>
      <c r="N51" s="44"/>
      <c r="O51" s="44"/>
      <c r="P51" s="44"/>
      <c r="Q51" s="44"/>
      <c r="R51" s="44"/>
      <c r="S51" s="44"/>
      <c r="T51" s="44"/>
      <c r="U51" s="44"/>
      <c r="V51" s="44"/>
      <c r="W51" s="44"/>
      <c r="X51" s="44"/>
      <c r="Y51" s="44"/>
      <c r="Z51" s="44"/>
      <c r="AA51" s="44"/>
      <c r="AB51" s="44"/>
      <c r="AC51" s="44"/>
      <c r="AD51" s="44"/>
      <c r="AE51" s="44"/>
      <c r="AF51" s="44"/>
      <c r="AG51" s="44"/>
    </row>
    <row r="52" spans="1:33" x14ac:dyDescent="0.25">
      <c r="A52" s="44"/>
      <c r="B52" s="44"/>
      <c r="C52" s="44"/>
      <c r="D52" s="44"/>
      <c r="E52" s="44"/>
      <c r="F52" s="44"/>
      <c r="G52" s="44"/>
      <c r="H52" s="44"/>
      <c r="I52" s="44"/>
      <c r="J52" s="44"/>
      <c r="K52" s="44"/>
      <c r="L52" s="44"/>
      <c r="M52" s="44"/>
      <c r="N52" s="44"/>
      <c r="O52" s="44"/>
      <c r="P52" s="44"/>
      <c r="Q52" s="44"/>
      <c r="R52" s="44"/>
      <c r="S52" s="44"/>
      <c r="T52" s="44"/>
      <c r="U52" s="44"/>
      <c r="V52" s="44"/>
      <c r="W52" s="44"/>
      <c r="X52" s="44"/>
      <c r="Y52" s="44"/>
      <c r="Z52" s="44"/>
      <c r="AA52" s="44"/>
      <c r="AB52" s="44"/>
      <c r="AC52" s="44"/>
      <c r="AD52" s="44"/>
      <c r="AE52" s="44"/>
      <c r="AF52" s="44"/>
      <c r="AG52" s="44"/>
    </row>
    <row r="53" spans="1:33" x14ac:dyDescent="0.25">
      <c r="A53" s="44"/>
      <c r="B53" s="44"/>
      <c r="C53" s="44"/>
      <c r="D53" s="44"/>
      <c r="E53" s="44"/>
      <c r="F53" s="44"/>
      <c r="G53" s="44"/>
      <c r="H53" s="44"/>
      <c r="I53" s="44"/>
      <c r="J53" s="44"/>
      <c r="K53" s="44"/>
      <c r="L53" s="44"/>
      <c r="M53" s="44"/>
      <c r="N53" s="44"/>
      <c r="O53" s="44"/>
      <c r="P53" s="44"/>
      <c r="Q53" s="44"/>
      <c r="R53" s="44"/>
      <c r="S53" s="44"/>
      <c r="T53" s="44"/>
      <c r="U53" s="44"/>
      <c r="V53" s="44"/>
      <c r="W53" s="44"/>
      <c r="X53" s="44"/>
      <c r="Y53" s="44"/>
      <c r="Z53" s="44"/>
      <c r="AA53" s="44"/>
      <c r="AB53" s="44"/>
      <c r="AC53" s="44"/>
      <c r="AD53" s="44"/>
      <c r="AE53" s="44"/>
      <c r="AF53" s="44"/>
      <c r="AG53" s="44"/>
    </row>
    <row r="54" spans="1:33" x14ac:dyDescent="0.25">
      <c r="A54" s="44"/>
      <c r="B54" s="44"/>
      <c r="C54" s="44"/>
      <c r="D54" s="44"/>
      <c r="E54" s="44"/>
      <c r="F54" s="44"/>
      <c r="G54" s="44"/>
      <c r="H54" s="44"/>
      <c r="I54" s="44"/>
      <c r="J54" s="44"/>
      <c r="K54" s="44"/>
      <c r="L54" s="44"/>
      <c r="M54" s="44"/>
      <c r="N54" s="44"/>
      <c r="O54" s="44"/>
      <c r="P54" s="44"/>
      <c r="Q54" s="44"/>
      <c r="R54" s="44"/>
      <c r="S54" s="44"/>
      <c r="T54" s="44"/>
      <c r="U54" s="44"/>
      <c r="V54" s="44"/>
      <c r="W54" s="44"/>
      <c r="X54" s="44"/>
      <c r="Y54" s="44"/>
      <c r="Z54" s="44"/>
      <c r="AA54" s="44"/>
      <c r="AB54" s="44"/>
      <c r="AC54" s="44"/>
      <c r="AD54" s="44"/>
      <c r="AE54" s="44"/>
      <c r="AF54" s="44"/>
      <c r="AG54" s="44"/>
    </row>
    <row r="55" spans="1:33" x14ac:dyDescent="0.25">
      <c r="A55" s="44"/>
      <c r="B55" s="44"/>
      <c r="C55" s="44"/>
      <c r="D55" s="44"/>
      <c r="E55" s="44"/>
      <c r="F55" s="44"/>
      <c r="G55" s="44"/>
      <c r="H55" s="44"/>
      <c r="I55" s="44"/>
      <c r="J55" s="44"/>
      <c r="K55" s="44"/>
      <c r="L55" s="44"/>
      <c r="M55" s="44"/>
      <c r="N55" s="44"/>
      <c r="O55" s="44"/>
      <c r="P55" s="44"/>
      <c r="Q55" s="44"/>
      <c r="R55" s="44"/>
      <c r="S55" s="44"/>
      <c r="T55" s="44"/>
      <c r="U55" s="44"/>
      <c r="V55" s="44"/>
      <c r="W55" s="44"/>
      <c r="X55" s="44"/>
      <c r="Y55" s="44"/>
      <c r="Z55" s="44"/>
      <c r="AA55" s="44"/>
      <c r="AB55" s="44"/>
      <c r="AC55" s="44"/>
      <c r="AD55" s="44"/>
      <c r="AE55" s="44"/>
      <c r="AF55" s="44"/>
      <c r="AG55" s="44"/>
    </row>
    <row r="56" spans="1:33" x14ac:dyDescent="0.25">
      <c r="A56" s="44"/>
      <c r="B56" s="44"/>
      <c r="C56" s="44"/>
      <c r="D56" s="44"/>
      <c r="E56" s="44"/>
      <c r="F56" s="44"/>
      <c r="G56" s="44"/>
      <c r="H56" s="44"/>
      <c r="I56" s="44"/>
      <c r="J56" s="44"/>
      <c r="K56" s="44"/>
      <c r="L56" s="44"/>
      <c r="M56" s="44"/>
      <c r="N56" s="44"/>
      <c r="O56" s="44"/>
      <c r="P56" s="44"/>
      <c r="Q56" s="44"/>
      <c r="R56" s="44"/>
      <c r="S56" s="44"/>
      <c r="T56" s="44"/>
      <c r="U56" s="44"/>
      <c r="V56" s="44"/>
      <c r="W56" s="44"/>
      <c r="X56" s="44"/>
      <c r="Y56" s="44"/>
      <c r="Z56" s="44"/>
      <c r="AA56" s="44"/>
      <c r="AB56" s="44"/>
      <c r="AC56" s="44"/>
      <c r="AD56" s="44"/>
      <c r="AE56" s="44"/>
      <c r="AF56" s="44"/>
      <c r="AG56" s="44"/>
    </row>
    <row r="57" spans="1:33" x14ac:dyDescent="0.25">
      <c r="A57" s="44"/>
      <c r="B57" s="44"/>
      <c r="C57" s="44"/>
      <c r="D57" s="44"/>
      <c r="E57" s="44"/>
      <c r="F57" s="44"/>
      <c r="G57" s="44"/>
      <c r="H57" s="44"/>
      <c r="I57" s="44"/>
      <c r="J57" s="44"/>
      <c r="K57" s="44"/>
      <c r="L57" s="44"/>
      <c r="M57" s="44"/>
      <c r="N57" s="44"/>
      <c r="O57" s="44"/>
      <c r="P57" s="44"/>
      <c r="Q57" s="44"/>
      <c r="R57" s="44"/>
      <c r="S57" s="44"/>
      <c r="T57" s="44"/>
      <c r="U57" s="44"/>
      <c r="V57" s="44"/>
      <c r="W57" s="44"/>
      <c r="X57" s="44"/>
      <c r="Y57" s="44"/>
      <c r="Z57" s="44"/>
      <c r="AA57" s="44"/>
      <c r="AB57" s="44"/>
      <c r="AC57" s="44"/>
      <c r="AD57" s="44"/>
      <c r="AE57" s="44"/>
      <c r="AF57" s="44"/>
      <c r="AG57" s="44"/>
    </row>
    <row r="58" spans="1:33" x14ac:dyDescent="0.25">
      <c r="A58" s="44"/>
      <c r="B58" s="44"/>
      <c r="C58" s="44"/>
      <c r="D58" s="44"/>
      <c r="E58" s="44"/>
      <c r="F58" s="44"/>
      <c r="G58" s="44"/>
      <c r="H58" s="44"/>
      <c r="I58" s="44"/>
      <c r="J58" s="44"/>
      <c r="K58" s="44"/>
      <c r="L58" s="44"/>
      <c r="M58" s="44"/>
      <c r="N58" s="44"/>
      <c r="O58" s="44"/>
      <c r="P58" s="44"/>
      <c r="Q58" s="44"/>
      <c r="R58" s="44"/>
      <c r="S58" s="44"/>
      <c r="T58" s="44"/>
      <c r="U58" s="44"/>
      <c r="V58" s="44"/>
      <c r="W58" s="44"/>
      <c r="X58" s="44"/>
      <c r="Y58" s="44"/>
      <c r="Z58" s="44"/>
      <c r="AA58" s="44"/>
      <c r="AB58" s="44"/>
      <c r="AC58" s="44"/>
      <c r="AD58" s="44"/>
      <c r="AE58" s="44"/>
      <c r="AF58" s="44"/>
      <c r="AG58" s="44"/>
    </row>
    <row r="59" spans="1:33" x14ac:dyDescent="0.25">
      <c r="A59" s="44"/>
      <c r="B59" s="44"/>
      <c r="C59" s="44"/>
      <c r="D59" s="44"/>
      <c r="E59" s="44"/>
      <c r="F59" s="44"/>
      <c r="G59" s="44"/>
      <c r="H59" s="44"/>
      <c r="I59" s="44"/>
      <c r="J59" s="44"/>
      <c r="K59" s="44"/>
      <c r="L59" s="44"/>
      <c r="M59" s="44"/>
      <c r="N59" s="44"/>
      <c r="O59" s="44"/>
      <c r="P59" s="44"/>
      <c r="Q59" s="44"/>
      <c r="R59" s="44"/>
      <c r="S59" s="44"/>
      <c r="T59" s="44"/>
      <c r="U59" s="44"/>
      <c r="V59" s="44"/>
      <c r="W59" s="44"/>
      <c r="X59" s="44"/>
      <c r="Y59" s="44"/>
      <c r="Z59" s="44"/>
      <c r="AA59" s="44"/>
      <c r="AB59" s="44"/>
      <c r="AC59" s="44"/>
      <c r="AD59" s="44"/>
      <c r="AE59" s="44"/>
      <c r="AF59" s="44"/>
      <c r="AG59" s="44"/>
    </row>
    <row r="60" spans="1:33" x14ac:dyDescent="0.25">
      <c r="A60" s="44"/>
      <c r="B60" s="44"/>
      <c r="C60" s="44"/>
      <c r="D60" s="44"/>
      <c r="E60" s="44"/>
      <c r="F60" s="44"/>
      <c r="G60" s="44"/>
      <c r="H60" s="44"/>
      <c r="I60" s="44"/>
      <c r="J60" s="44"/>
      <c r="K60" s="44"/>
      <c r="L60" s="44"/>
      <c r="M60" s="44"/>
      <c r="N60" s="44"/>
      <c r="O60" s="44"/>
      <c r="P60" s="44"/>
      <c r="Q60" s="44"/>
      <c r="R60" s="44"/>
      <c r="S60" s="44"/>
      <c r="T60" s="44"/>
      <c r="U60" s="44"/>
      <c r="V60" s="44"/>
      <c r="W60" s="44"/>
      <c r="X60" s="44"/>
      <c r="Y60" s="44"/>
      <c r="Z60" s="44"/>
      <c r="AA60" s="44"/>
      <c r="AB60" s="44"/>
      <c r="AC60" s="44"/>
      <c r="AD60" s="44"/>
      <c r="AE60" s="44"/>
      <c r="AF60" s="44"/>
      <c r="AG60" s="44"/>
    </row>
    <row r="61" spans="1:33" x14ac:dyDescent="0.25">
      <c r="A61" s="44"/>
      <c r="B61" s="44"/>
      <c r="C61" s="44"/>
      <c r="D61" s="44"/>
      <c r="E61" s="44"/>
      <c r="F61" s="44"/>
      <c r="G61" s="44"/>
      <c r="H61" s="44"/>
      <c r="I61" s="44"/>
      <c r="J61" s="44"/>
      <c r="K61" s="44"/>
      <c r="L61" s="44"/>
      <c r="M61" s="44"/>
      <c r="N61" s="44"/>
      <c r="O61" s="44"/>
      <c r="P61" s="44"/>
      <c r="Q61" s="44"/>
      <c r="R61" s="44"/>
      <c r="S61" s="44"/>
      <c r="T61" s="44"/>
      <c r="U61" s="44"/>
      <c r="V61" s="44"/>
      <c r="W61" s="44"/>
      <c r="X61" s="44"/>
      <c r="Y61" s="44"/>
      <c r="Z61" s="44"/>
      <c r="AA61" s="44"/>
      <c r="AB61" s="44"/>
      <c r="AC61" s="44"/>
      <c r="AD61" s="44"/>
      <c r="AE61" s="44"/>
      <c r="AF61" s="44"/>
      <c r="AG61" s="44"/>
    </row>
    <row r="62" spans="1:33" x14ac:dyDescent="0.25">
      <c r="A62" s="44"/>
      <c r="B62" s="44"/>
      <c r="C62" s="44"/>
      <c r="D62" s="44"/>
      <c r="E62" s="44"/>
      <c r="F62" s="44"/>
      <c r="G62" s="44"/>
      <c r="H62" s="44"/>
      <c r="I62" s="44"/>
      <c r="J62" s="44"/>
      <c r="K62" s="44"/>
      <c r="L62" s="44"/>
      <c r="M62" s="44"/>
      <c r="N62" s="44"/>
      <c r="O62" s="44"/>
      <c r="P62" s="44"/>
      <c r="Q62" s="44"/>
      <c r="R62" s="44"/>
      <c r="S62" s="44"/>
      <c r="T62" s="44"/>
      <c r="U62" s="44"/>
      <c r="V62" s="44"/>
      <c r="W62" s="44"/>
      <c r="X62" s="44"/>
      <c r="Y62" s="44"/>
      <c r="Z62" s="44"/>
      <c r="AA62" s="44"/>
      <c r="AB62" s="44"/>
      <c r="AC62" s="44"/>
      <c r="AD62" s="44"/>
      <c r="AE62" s="44"/>
      <c r="AF62" s="44"/>
      <c r="AG62" s="44"/>
    </row>
    <row r="63" spans="1:33" x14ac:dyDescent="0.25">
      <c r="A63" s="44"/>
      <c r="B63" s="44"/>
      <c r="C63" s="44"/>
      <c r="D63" s="44"/>
      <c r="E63" s="44"/>
      <c r="F63" s="44"/>
      <c r="G63" s="44"/>
      <c r="H63" s="44"/>
      <c r="I63" s="44"/>
      <c r="J63" s="44"/>
      <c r="K63" s="44"/>
      <c r="L63" s="44"/>
      <c r="M63" s="44"/>
      <c r="N63" s="44"/>
      <c r="O63" s="44"/>
      <c r="P63" s="44"/>
      <c r="Q63" s="44"/>
      <c r="R63" s="44"/>
      <c r="S63" s="44"/>
      <c r="T63" s="44"/>
      <c r="U63" s="44"/>
      <c r="V63" s="44"/>
      <c r="W63" s="44"/>
      <c r="X63" s="44"/>
      <c r="Y63" s="44"/>
      <c r="Z63" s="44"/>
      <c r="AA63" s="44"/>
      <c r="AB63" s="44"/>
      <c r="AC63" s="44"/>
      <c r="AD63" s="44"/>
      <c r="AE63" s="44"/>
      <c r="AF63" s="44"/>
      <c r="AG63" s="44"/>
    </row>
    <row r="64" spans="1:33" x14ac:dyDescent="0.25">
      <c r="A64" s="44"/>
      <c r="B64" s="44"/>
      <c r="C64" s="44"/>
      <c r="D64" s="44"/>
      <c r="E64" s="44"/>
      <c r="F64" s="44"/>
      <c r="G64" s="44"/>
      <c r="H64" s="44"/>
      <c r="I64" s="44"/>
      <c r="J64" s="44"/>
      <c r="K64" s="44"/>
      <c r="L64" s="44"/>
      <c r="M64" s="44"/>
      <c r="N64" s="44"/>
      <c r="O64" s="44"/>
      <c r="P64" s="44"/>
      <c r="Q64" s="44"/>
      <c r="R64" s="44"/>
      <c r="S64" s="44"/>
      <c r="T64" s="44"/>
      <c r="U64" s="44"/>
      <c r="V64" s="44"/>
      <c r="W64" s="44"/>
      <c r="X64" s="44"/>
      <c r="Y64" s="44"/>
      <c r="Z64" s="44"/>
      <c r="AA64" s="44"/>
      <c r="AB64" s="44"/>
      <c r="AC64" s="44"/>
      <c r="AD64" s="44"/>
      <c r="AE64" s="44"/>
      <c r="AF64" s="44"/>
      <c r="AG64" s="44"/>
    </row>
    <row r="65" spans="1:33" x14ac:dyDescent="0.25">
      <c r="A65" s="44"/>
      <c r="B65" s="44"/>
      <c r="C65" s="44"/>
      <c r="D65" s="44"/>
      <c r="E65" s="44"/>
      <c r="F65" s="44"/>
      <c r="G65" s="44"/>
      <c r="H65" s="44"/>
      <c r="I65" s="44"/>
      <c r="J65" s="44"/>
      <c r="K65" s="44"/>
      <c r="L65" s="44"/>
      <c r="M65" s="44"/>
      <c r="N65" s="44"/>
      <c r="O65" s="44"/>
      <c r="P65" s="44"/>
      <c r="Q65" s="44"/>
      <c r="R65" s="44"/>
      <c r="S65" s="44"/>
      <c r="T65" s="44"/>
      <c r="U65" s="44"/>
      <c r="V65" s="44"/>
      <c r="W65" s="44"/>
      <c r="X65" s="44"/>
      <c r="Y65" s="44"/>
      <c r="Z65" s="44"/>
      <c r="AA65" s="44"/>
      <c r="AB65" s="44"/>
      <c r="AC65" s="44"/>
      <c r="AD65" s="44"/>
      <c r="AE65" s="44"/>
      <c r="AF65" s="44"/>
      <c r="AG65" s="44"/>
    </row>
    <row r="66" spans="1:33" x14ac:dyDescent="0.25">
      <c r="A66" s="44"/>
      <c r="B66" s="44"/>
      <c r="C66" s="44"/>
      <c r="D66" s="44"/>
      <c r="E66" s="44"/>
      <c r="F66" s="44"/>
      <c r="G66" s="44"/>
      <c r="H66" s="44"/>
      <c r="I66" s="44"/>
      <c r="J66" s="44"/>
      <c r="K66" s="44"/>
      <c r="L66" s="44"/>
      <c r="M66" s="44"/>
      <c r="N66" s="44"/>
      <c r="O66" s="44"/>
      <c r="P66" s="44"/>
      <c r="Q66" s="44"/>
      <c r="R66" s="44"/>
      <c r="S66" s="44"/>
      <c r="T66" s="44"/>
      <c r="U66" s="44"/>
      <c r="V66" s="44"/>
      <c r="W66" s="44"/>
      <c r="X66" s="44"/>
      <c r="Y66" s="44"/>
      <c r="Z66" s="44"/>
      <c r="AA66" s="44"/>
      <c r="AB66" s="44"/>
      <c r="AC66" s="44"/>
      <c r="AD66" s="44"/>
      <c r="AE66" s="44"/>
      <c r="AF66" s="44"/>
      <c r="AG66" s="44"/>
    </row>
    <row r="67" spans="1:33" x14ac:dyDescent="0.25">
      <c r="A67" s="44"/>
      <c r="B67" s="44"/>
      <c r="C67" s="44"/>
      <c r="D67" s="44"/>
      <c r="E67" s="44"/>
      <c r="F67" s="44"/>
      <c r="G67" s="44"/>
      <c r="H67" s="44"/>
      <c r="I67" s="44"/>
      <c r="J67" s="44"/>
      <c r="K67" s="44"/>
      <c r="L67" s="44"/>
      <c r="M67" s="44"/>
      <c r="N67" s="44"/>
      <c r="O67" s="44"/>
      <c r="P67" s="44"/>
      <c r="Q67" s="44"/>
      <c r="R67" s="44"/>
      <c r="S67" s="44"/>
      <c r="T67" s="44"/>
      <c r="U67" s="44"/>
      <c r="V67" s="44"/>
      <c r="W67" s="44"/>
      <c r="X67" s="44"/>
      <c r="Y67" s="44"/>
      <c r="Z67" s="44"/>
      <c r="AA67" s="44"/>
      <c r="AB67" s="44"/>
      <c r="AC67" s="44"/>
      <c r="AD67" s="44"/>
      <c r="AE67" s="44"/>
      <c r="AF67" s="44"/>
      <c r="AG67" s="44"/>
    </row>
    <row r="68" spans="1:33" x14ac:dyDescent="0.25">
      <c r="A68" s="44"/>
      <c r="B68" s="44"/>
      <c r="C68" s="44"/>
      <c r="D68" s="44"/>
      <c r="E68" s="44"/>
      <c r="F68" s="44"/>
      <c r="G68" s="44"/>
      <c r="H68" s="44"/>
      <c r="I68" s="44"/>
      <c r="J68" s="44"/>
      <c r="K68" s="44"/>
      <c r="L68" s="44"/>
      <c r="M68" s="44"/>
      <c r="N68" s="44"/>
      <c r="O68" s="44"/>
      <c r="P68" s="44"/>
      <c r="Q68" s="44"/>
      <c r="R68" s="44"/>
      <c r="S68" s="44"/>
      <c r="T68" s="44"/>
      <c r="U68" s="44"/>
      <c r="V68" s="44"/>
      <c r="W68" s="44"/>
      <c r="X68" s="44"/>
      <c r="Y68" s="44"/>
      <c r="Z68" s="44"/>
      <c r="AA68" s="44"/>
      <c r="AB68" s="44"/>
      <c r="AC68" s="44"/>
      <c r="AD68" s="44"/>
      <c r="AE68" s="44"/>
      <c r="AF68" s="44"/>
      <c r="AG68" s="44"/>
    </row>
    <row r="69" spans="1:33" x14ac:dyDescent="0.25">
      <c r="A69" s="44"/>
      <c r="B69" s="44"/>
      <c r="C69" s="44"/>
      <c r="D69" s="44"/>
      <c r="E69" s="44"/>
      <c r="F69" s="44"/>
      <c r="G69" s="44"/>
      <c r="H69" s="44"/>
      <c r="I69" s="44"/>
      <c r="J69" s="44"/>
      <c r="K69" s="44"/>
      <c r="L69" s="44"/>
      <c r="M69" s="44"/>
      <c r="N69" s="44"/>
      <c r="O69" s="44"/>
      <c r="P69" s="44"/>
      <c r="Q69" s="44"/>
      <c r="R69" s="44"/>
      <c r="S69" s="44"/>
      <c r="T69" s="44"/>
      <c r="U69" s="44"/>
      <c r="V69" s="44"/>
      <c r="W69" s="44"/>
      <c r="X69" s="44"/>
      <c r="Y69" s="44"/>
      <c r="Z69" s="44"/>
      <c r="AA69" s="44"/>
      <c r="AB69" s="44"/>
      <c r="AC69" s="44"/>
      <c r="AD69" s="44"/>
      <c r="AE69" s="44"/>
      <c r="AF69" s="44"/>
      <c r="AG69" s="44"/>
    </row>
    <row r="70" spans="1:33" x14ac:dyDescent="0.25">
      <c r="A70" s="44"/>
      <c r="B70" s="44"/>
      <c r="C70" s="44"/>
      <c r="D70" s="44"/>
      <c r="E70" s="44"/>
      <c r="F70" s="44"/>
      <c r="G70" s="44"/>
      <c r="H70" s="44"/>
      <c r="I70" s="44"/>
      <c r="J70" s="44"/>
      <c r="K70" s="44"/>
      <c r="L70" s="44"/>
      <c r="M70" s="44"/>
      <c r="N70" s="44"/>
      <c r="O70" s="44"/>
      <c r="P70" s="44"/>
      <c r="Q70" s="44"/>
      <c r="R70" s="44"/>
      <c r="S70" s="44"/>
      <c r="T70" s="44"/>
      <c r="U70" s="44"/>
      <c r="V70" s="44"/>
      <c r="W70" s="44"/>
      <c r="X70" s="44"/>
      <c r="Y70" s="44"/>
      <c r="Z70" s="44"/>
      <c r="AA70" s="44"/>
      <c r="AB70" s="44"/>
      <c r="AC70" s="44"/>
      <c r="AD70" s="44"/>
      <c r="AE70" s="44"/>
      <c r="AF70" s="44"/>
      <c r="AG70" s="44"/>
    </row>
    <row r="71" spans="1:33" x14ac:dyDescent="0.25">
      <c r="A71" s="44"/>
      <c r="B71" s="44"/>
      <c r="C71" s="44"/>
      <c r="D71" s="44"/>
      <c r="E71" s="44"/>
      <c r="F71" s="44"/>
      <c r="G71" s="44"/>
      <c r="H71" s="44"/>
      <c r="I71" s="44"/>
      <c r="J71" s="44"/>
      <c r="K71" s="44"/>
      <c r="L71" s="44"/>
      <c r="M71" s="44"/>
      <c r="N71" s="44"/>
      <c r="O71" s="44"/>
      <c r="P71" s="44"/>
      <c r="Q71" s="44"/>
      <c r="R71" s="44"/>
      <c r="S71" s="44"/>
      <c r="T71" s="44"/>
      <c r="U71" s="44"/>
      <c r="V71" s="44"/>
      <c r="W71" s="44"/>
      <c r="X71" s="44"/>
      <c r="Y71" s="44"/>
      <c r="Z71" s="44"/>
      <c r="AA71" s="44"/>
      <c r="AB71" s="44"/>
      <c r="AC71" s="44"/>
      <c r="AD71" s="44"/>
      <c r="AE71" s="44"/>
      <c r="AF71" s="44"/>
      <c r="AG71" s="44"/>
    </row>
    <row r="72" spans="1:33" x14ac:dyDescent="0.25">
      <c r="A72" s="44"/>
      <c r="B72" s="44"/>
      <c r="C72" s="44"/>
      <c r="D72" s="44"/>
      <c r="E72" s="44"/>
      <c r="F72" s="44"/>
      <c r="G72" s="44"/>
      <c r="H72" s="44"/>
      <c r="I72" s="44"/>
      <c r="J72" s="44"/>
      <c r="K72" s="44"/>
      <c r="L72" s="44"/>
      <c r="M72" s="44"/>
      <c r="N72" s="44"/>
      <c r="O72" s="44"/>
      <c r="P72" s="44"/>
      <c r="Q72" s="44"/>
      <c r="R72" s="44"/>
      <c r="S72" s="44"/>
      <c r="T72" s="44"/>
      <c r="U72" s="44"/>
      <c r="V72" s="44"/>
      <c r="W72" s="44"/>
      <c r="X72" s="44"/>
      <c r="Y72" s="44"/>
      <c r="Z72" s="44"/>
      <c r="AA72" s="44"/>
      <c r="AB72" s="44"/>
      <c r="AC72" s="44"/>
      <c r="AD72" s="44"/>
      <c r="AE72" s="44"/>
      <c r="AF72" s="44"/>
      <c r="AG72" s="44"/>
    </row>
    <row r="73" spans="1:33" x14ac:dyDescent="0.25">
      <c r="A73" s="44"/>
      <c r="B73" s="44"/>
      <c r="C73" s="44"/>
      <c r="D73" s="44"/>
      <c r="E73" s="44"/>
      <c r="F73" s="44"/>
      <c r="G73" s="44"/>
      <c r="H73" s="44"/>
      <c r="I73" s="44"/>
      <c r="J73" s="44"/>
      <c r="K73" s="44"/>
      <c r="L73" s="44"/>
      <c r="M73" s="44"/>
      <c r="N73" s="44"/>
      <c r="O73" s="44"/>
      <c r="P73" s="44"/>
      <c r="Q73" s="44"/>
      <c r="R73" s="44"/>
      <c r="S73" s="44"/>
      <c r="T73" s="44"/>
      <c r="U73" s="44"/>
      <c r="V73" s="44"/>
      <c r="W73" s="44"/>
      <c r="X73" s="44"/>
      <c r="Y73" s="44"/>
      <c r="Z73" s="44"/>
      <c r="AA73" s="44"/>
      <c r="AB73" s="44"/>
      <c r="AC73" s="44"/>
      <c r="AD73" s="44"/>
      <c r="AE73" s="44"/>
      <c r="AF73" s="44"/>
      <c r="AG73" s="44"/>
    </row>
    <row r="74" spans="1:33" x14ac:dyDescent="0.25">
      <c r="A74" s="44"/>
      <c r="B74" s="44"/>
      <c r="C74" s="44"/>
      <c r="D74" s="44"/>
      <c r="E74" s="44"/>
      <c r="F74" s="44"/>
      <c r="G74" s="44"/>
      <c r="H74" s="44"/>
      <c r="I74" s="44"/>
      <c r="J74" s="44"/>
      <c r="K74" s="44"/>
      <c r="L74" s="44"/>
      <c r="M74" s="44"/>
      <c r="N74" s="44"/>
      <c r="O74" s="44"/>
      <c r="P74" s="44"/>
      <c r="Q74" s="44"/>
      <c r="R74" s="44"/>
      <c r="S74" s="44"/>
      <c r="T74" s="44"/>
      <c r="U74" s="44"/>
      <c r="V74" s="44"/>
      <c r="W74" s="44"/>
      <c r="X74" s="44"/>
      <c r="Y74" s="44"/>
      <c r="Z74" s="44"/>
      <c r="AA74" s="44"/>
      <c r="AB74" s="44"/>
      <c r="AC74" s="44"/>
      <c r="AD74" s="44"/>
      <c r="AE74" s="44"/>
      <c r="AF74" s="44"/>
      <c r="AG74" s="44"/>
    </row>
    <row r="75" spans="1:33" x14ac:dyDescent="0.25">
      <c r="A75" s="44"/>
      <c r="B75" s="44"/>
      <c r="C75" s="44"/>
      <c r="D75" s="44"/>
      <c r="E75" s="44"/>
      <c r="F75" s="44"/>
      <c r="G75" s="44"/>
      <c r="H75" s="44"/>
      <c r="I75" s="44"/>
      <c r="J75" s="44"/>
      <c r="K75" s="44"/>
      <c r="L75" s="44"/>
      <c r="M75" s="44"/>
      <c r="N75" s="44"/>
      <c r="O75" s="44"/>
      <c r="P75" s="44"/>
      <c r="Q75" s="44"/>
      <c r="R75" s="44"/>
      <c r="S75" s="44"/>
      <c r="T75" s="44"/>
      <c r="U75" s="44"/>
      <c r="V75" s="44"/>
      <c r="W75" s="44"/>
      <c r="X75" s="44"/>
      <c r="Y75" s="44"/>
      <c r="Z75" s="44"/>
      <c r="AA75" s="44"/>
      <c r="AB75" s="44"/>
      <c r="AC75" s="44"/>
      <c r="AD75" s="44"/>
      <c r="AE75" s="44"/>
      <c r="AF75" s="44"/>
      <c r="AG75" s="44"/>
    </row>
    <row r="76" spans="1:33" x14ac:dyDescent="0.25">
      <c r="A76" s="44"/>
      <c r="B76" s="44"/>
      <c r="C76" s="44"/>
      <c r="D76" s="44"/>
      <c r="E76" s="44"/>
      <c r="F76" s="44"/>
      <c r="G76" s="44"/>
      <c r="H76" s="44"/>
      <c r="I76" s="44"/>
      <c r="J76" s="44"/>
      <c r="K76" s="44"/>
      <c r="L76" s="44"/>
      <c r="M76" s="44"/>
      <c r="N76" s="44"/>
      <c r="O76" s="44"/>
      <c r="P76" s="44"/>
      <c r="Q76" s="44"/>
      <c r="R76" s="44"/>
      <c r="S76" s="44"/>
      <c r="T76" s="44"/>
      <c r="U76" s="44"/>
      <c r="V76" s="44"/>
      <c r="W76" s="44"/>
      <c r="X76" s="44"/>
      <c r="Y76" s="44"/>
      <c r="Z76" s="44"/>
      <c r="AA76" s="44"/>
      <c r="AB76" s="44"/>
      <c r="AC76" s="44"/>
      <c r="AD76" s="44"/>
      <c r="AE76" s="44"/>
      <c r="AF76" s="44"/>
      <c r="AG76" s="44"/>
    </row>
    <row r="77" spans="1:33" x14ac:dyDescent="0.25">
      <c r="A77" s="44"/>
      <c r="B77" s="44"/>
      <c r="C77" s="44"/>
      <c r="D77" s="44"/>
      <c r="E77" s="44"/>
      <c r="F77" s="44"/>
      <c r="G77" s="44"/>
      <c r="H77" s="44"/>
      <c r="I77" s="44"/>
      <c r="J77" s="44"/>
      <c r="K77" s="44"/>
      <c r="L77" s="44"/>
      <c r="M77" s="44"/>
      <c r="N77" s="44"/>
      <c r="O77" s="44"/>
      <c r="P77" s="44"/>
      <c r="Q77" s="44"/>
      <c r="R77" s="44"/>
      <c r="S77" s="44"/>
      <c r="T77" s="44"/>
      <c r="U77" s="44"/>
      <c r="V77" s="44"/>
      <c r="W77" s="44"/>
      <c r="X77" s="44"/>
      <c r="Y77" s="44"/>
      <c r="Z77" s="44"/>
      <c r="AA77" s="44"/>
      <c r="AB77" s="44"/>
      <c r="AC77" s="44"/>
      <c r="AD77" s="44"/>
      <c r="AE77" s="44"/>
      <c r="AF77" s="44"/>
      <c r="AG77" s="44"/>
    </row>
    <row r="78" spans="1:33" x14ac:dyDescent="0.25">
      <c r="A78" s="44"/>
      <c r="B78" s="44"/>
      <c r="C78" s="44"/>
      <c r="D78" s="44"/>
      <c r="E78" s="44"/>
      <c r="F78" s="44"/>
      <c r="G78" s="44"/>
      <c r="H78" s="44"/>
      <c r="I78" s="44"/>
      <c r="J78" s="44"/>
      <c r="K78" s="44"/>
      <c r="L78" s="44"/>
      <c r="M78" s="44"/>
      <c r="N78" s="44"/>
      <c r="O78" s="44"/>
      <c r="P78" s="44"/>
      <c r="Q78" s="44"/>
      <c r="R78" s="44"/>
      <c r="S78" s="44"/>
      <c r="T78" s="44"/>
      <c r="U78" s="44"/>
      <c r="V78" s="44"/>
      <c r="W78" s="44"/>
      <c r="X78" s="44"/>
      <c r="Y78" s="44"/>
      <c r="Z78" s="44"/>
      <c r="AA78" s="44"/>
      <c r="AB78" s="44"/>
      <c r="AC78" s="44"/>
      <c r="AD78" s="44"/>
      <c r="AE78" s="44"/>
      <c r="AF78" s="44"/>
      <c r="AG78" s="44"/>
    </row>
    <row r="79" spans="1:33" x14ac:dyDescent="0.25">
      <c r="A79" s="44"/>
      <c r="B79" s="44"/>
      <c r="C79" s="44"/>
      <c r="D79" s="44"/>
      <c r="E79" s="44"/>
      <c r="F79" s="44"/>
      <c r="G79" s="44"/>
      <c r="H79" s="44"/>
      <c r="I79" s="44"/>
      <c r="J79" s="44"/>
      <c r="K79" s="44"/>
      <c r="L79" s="44"/>
      <c r="M79" s="44"/>
      <c r="N79" s="44"/>
      <c r="O79" s="44"/>
      <c r="P79" s="44"/>
      <c r="Q79" s="44"/>
      <c r="R79" s="44"/>
      <c r="S79" s="44"/>
      <c r="T79" s="44"/>
      <c r="U79" s="44"/>
      <c r="V79" s="44"/>
      <c r="W79" s="44"/>
      <c r="X79" s="44"/>
      <c r="Y79" s="44"/>
      <c r="Z79" s="44"/>
      <c r="AA79" s="44"/>
      <c r="AB79" s="44"/>
      <c r="AC79" s="44"/>
      <c r="AD79" s="44"/>
      <c r="AE79" s="44"/>
      <c r="AF79" s="44"/>
      <c r="AG79" s="44"/>
    </row>
    <row r="80" spans="1:33" x14ac:dyDescent="0.25">
      <c r="A80" s="44"/>
      <c r="B80" s="44"/>
      <c r="C80" s="44"/>
      <c r="D80" s="44"/>
      <c r="E80" s="44"/>
      <c r="F80" s="44"/>
      <c r="G80" s="44"/>
      <c r="H80" s="44"/>
      <c r="I80" s="44"/>
      <c r="J80" s="44"/>
      <c r="K80" s="44"/>
      <c r="L80" s="44"/>
      <c r="M80" s="44"/>
      <c r="N80" s="44"/>
      <c r="O80" s="44"/>
      <c r="P80" s="44"/>
      <c r="Q80" s="44"/>
      <c r="R80" s="44"/>
      <c r="S80" s="44"/>
      <c r="T80" s="44"/>
      <c r="U80" s="44"/>
      <c r="V80" s="44"/>
      <c r="W80" s="44"/>
      <c r="X80" s="44"/>
      <c r="Y80" s="44"/>
      <c r="Z80" s="44"/>
      <c r="AA80" s="44"/>
      <c r="AB80" s="44"/>
      <c r="AC80" s="44"/>
      <c r="AD80" s="44"/>
      <c r="AE80" s="44"/>
      <c r="AF80" s="44"/>
      <c r="AG80" s="44"/>
    </row>
    <row r="81" spans="1:33" x14ac:dyDescent="0.25">
      <c r="A81" s="44"/>
      <c r="B81" s="44"/>
      <c r="C81" s="44"/>
      <c r="D81" s="44"/>
      <c r="E81" s="44"/>
      <c r="F81" s="44"/>
      <c r="G81" s="44"/>
      <c r="H81" s="44"/>
      <c r="I81" s="44"/>
      <c r="J81" s="44"/>
      <c r="K81" s="44"/>
      <c r="L81" s="44"/>
      <c r="M81" s="44"/>
      <c r="N81" s="44"/>
      <c r="O81" s="44"/>
      <c r="P81" s="44"/>
      <c r="Q81" s="44"/>
      <c r="R81" s="44"/>
      <c r="S81" s="44"/>
      <c r="T81" s="44"/>
      <c r="U81" s="44"/>
      <c r="V81" s="44"/>
      <c r="W81" s="44"/>
      <c r="X81" s="44"/>
      <c r="Y81" s="44"/>
      <c r="Z81" s="44"/>
      <c r="AA81" s="44"/>
      <c r="AB81" s="44"/>
      <c r="AC81" s="44"/>
      <c r="AD81" s="44"/>
      <c r="AE81" s="44"/>
      <c r="AF81" s="44"/>
      <c r="AG81" s="44"/>
    </row>
    <row r="82" spans="1:33" x14ac:dyDescent="0.25">
      <c r="A82" s="44"/>
      <c r="B82" s="44"/>
      <c r="C82" s="44"/>
      <c r="D82" s="44"/>
      <c r="E82" s="44"/>
      <c r="F82" s="44"/>
      <c r="G82" s="44"/>
      <c r="H82" s="44"/>
      <c r="I82" s="44"/>
      <c r="J82" s="44"/>
      <c r="K82" s="44"/>
      <c r="L82" s="44"/>
      <c r="M82" s="44"/>
      <c r="N82" s="44"/>
      <c r="O82" s="44"/>
      <c r="P82" s="44"/>
      <c r="Q82" s="44"/>
      <c r="R82" s="44"/>
      <c r="S82" s="44"/>
      <c r="T82" s="44"/>
      <c r="U82" s="44"/>
      <c r="V82" s="44"/>
      <c r="W82" s="44"/>
      <c r="X82" s="44"/>
      <c r="Y82" s="44"/>
      <c r="Z82" s="44"/>
      <c r="AA82" s="44"/>
      <c r="AB82" s="44"/>
      <c r="AC82" s="44"/>
      <c r="AD82" s="44"/>
      <c r="AE82" s="44"/>
      <c r="AF82" s="44"/>
      <c r="AG82" s="44"/>
    </row>
    <row r="83" spans="1:33" x14ac:dyDescent="0.25">
      <c r="A83" s="44"/>
      <c r="B83" s="44"/>
      <c r="C83" s="44"/>
      <c r="D83" s="44"/>
      <c r="E83" s="44"/>
      <c r="F83" s="44"/>
      <c r="G83" s="44"/>
      <c r="H83" s="44"/>
      <c r="I83" s="44"/>
      <c r="J83" s="44"/>
      <c r="K83" s="44"/>
      <c r="L83" s="44"/>
      <c r="M83" s="44"/>
      <c r="N83" s="44"/>
      <c r="O83" s="44"/>
      <c r="P83" s="44"/>
      <c r="Q83" s="44"/>
      <c r="R83" s="44"/>
      <c r="S83" s="44"/>
      <c r="T83" s="44"/>
      <c r="U83" s="44"/>
      <c r="V83" s="44"/>
      <c r="W83" s="44"/>
      <c r="X83" s="44"/>
      <c r="Y83" s="44"/>
      <c r="Z83" s="44"/>
      <c r="AA83" s="44"/>
      <c r="AB83" s="44"/>
      <c r="AC83" s="44"/>
      <c r="AD83" s="44"/>
      <c r="AE83" s="44"/>
      <c r="AF83" s="44"/>
      <c r="AG83" s="44"/>
    </row>
    <row r="84" spans="1:33" x14ac:dyDescent="0.25">
      <c r="A84" s="44"/>
      <c r="B84" s="44"/>
      <c r="C84" s="44"/>
      <c r="D84" s="44"/>
      <c r="E84" s="44"/>
      <c r="F84" s="44"/>
      <c r="G84" s="44"/>
      <c r="H84" s="44"/>
      <c r="I84" s="44"/>
      <c r="J84" s="44"/>
      <c r="K84" s="44"/>
      <c r="L84" s="44"/>
      <c r="M84" s="44"/>
      <c r="N84" s="44"/>
      <c r="O84" s="44"/>
      <c r="P84" s="44"/>
      <c r="Q84" s="44"/>
      <c r="R84" s="44"/>
      <c r="S84" s="44"/>
      <c r="T84" s="44"/>
      <c r="U84" s="44"/>
      <c r="V84" s="44"/>
      <c r="W84" s="44"/>
      <c r="X84" s="44"/>
      <c r="Y84" s="44"/>
      <c r="Z84" s="44"/>
      <c r="AA84" s="44"/>
      <c r="AB84" s="44"/>
      <c r="AC84" s="44"/>
      <c r="AD84" s="44"/>
      <c r="AE84" s="44"/>
      <c r="AF84" s="44"/>
      <c r="AG84" s="44"/>
    </row>
    <row r="85" spans="1:33" x14ac:dyDescent="0.25">
      <c r="A85" s="44"/>
      <c r="B85" s="44"/>
      <c r="C85" s="44"/>
      <c r="D85" s="44"/>
      <c r="E85" s="44"/>
      <c r="F85" s="44"/>
      <c r="G85" s="44"/>
      <c r="H85" s="44"/>
      <c r="I85" s="44"/>
      <c r="J85" s="44"/>
      <c r="K85" s="44"/>
      <c r="L85" s="44"/>
      <c r="M85" s="44"/>
      <c r="N85" s="44"/>
      <c r="O85" s="44"/>
      <c r="P85" s="44"/>
      <c r="Q85" s="44"/>
      <c r="R85" s="44"/>
      <c r="S85" s="44"/>
      <c r="T85" s="44"/>
      <c r="U85" s="44"/>
      <c r="V85" s="44"/>
      <c r="W85" s="44"/>
      <c r="X85" s="44"/>
      <c r="Y85" s="44"/>
      <c r="Z85" s="44"/>
      <c r="AA85" s="44"/>
      <c r="AB85" s="44"/>
      <c r="AC85" s="44"/>
      <c r="AD85" s="44"/>
      <c r="AE85" s="44"/>
      <c r="AF85" s="44"/>
      <c r="AG85" s="44"/>
    </row>
    <row r="86" spans="1:33" x14ac:dyDescent="0.25">
      <c r="A86" s="44"/>
      <c r="B86" s="44"/>
      <c r="C86" s="44"/>
      <c r="D86" s="44"/>
      <c r="E86" s="44"/>
      <c r="F86" s="44"/>
      <c r="G86" s="44"/>
      <c r="H86" s="44"/>
      <c r="I86" s="44"/>
      <c r="J86" s="44"/>
      <c r="K86" s="44"/>
      <c r="L86" s="44"/>
      <c r="M86" s="44"/>
      <c r="N86" s="44"/>
      <c r="O86" s="44"/>
      <c r="P86" s="44"/>
      <c r="Q86" s="44"/>
      <c r="R86" s="44"/>
      <c r="S86" s="44"/>
      <c r="T86" s="44"/>
      <c r="U86" s="44"/>
      <c r="V86" s="44"/>
      <c r="W86" s="44"/>
      <c r="X86" s="44"/>
      <c r="Y86" s="44"/>
      <c r="Z86" s="44"/>
      <c r="AA86" s="44"/>
      <c r="AB86" s="44"/>
      <c r="AC86" s="44"/>
      <c r="AD86" s="44"/>
      <c r="AE86" s="44"/>
      <c r="AF86" s="44"/>
      <c r="AG86" s="44"/>
    </row>
    <row r="87" spans="1:33" x14ac:dyDescent="0.25">
      <c r="A87" s="44"/>
      <c r="B87" s="44"/>
      <c r="C87" s="44"/>
      <c r="D87" s="44"/>
      <c r="E87" s="44"/>
      <c r="F87" s="44"/>
      <c r="G87" s="44"/>
      <c r="H87" s="44"/>
      <c r="I87" s="44"/>
      <c r="J87" s="44"/>
      <c r="K87" s="44"/>
      <c r="L87" s="44"/>
      <c r="M87" s="44"/>
      <c r="N87" s="44"/>
      <c r="O87" s="44"/>
      <c r="P87" s="44"/>
      <c r="Q87" s="44"/>
      <c r="R87" s="44"/>
      <c r="S87" s="44"/>
      <c r="T87" s="44"/>
      <c r="U87" s="44"/>
      <c r="V87" s="44"/>
      <c r="W87" s="44"/>
      <c r="X87" s="44"/>
      <c r="Y87" s="44"/>
      <c r="Z87" s="44"/>
      <c r="AA87" s="44"/>
      <c r="AB87" s="44"/>
      <c r="AC87" s="44"/>
      <c r="AD87" s="44"/>
      <c r="AE87" s="44"/>
      <c r="AF87" s="44"/>
      <c r="AG87" s="44"/>
    </row>
    <row r="88" spans="1:33" x14ac:dyDescent="0.25">
      <c r="A88" s="44"/>
      <c r="B88" s="44"/>
      <c r="C88" s="44"/>
      <c r="D88" s="44"/>
      <c r="E88" s="44"/>
      <c r="F88" s="44"/>
      <c r="G88" s="44"/>
      <c r="H88" s="44"/>
      <c r="I88" s="44"/>
      <c r="J88" s="44"/>
      <c r="K88" s="44"/>
      <c r="L88" s="44"/>
      <c r="M88" s="44"/>
      <c r="N88" s="44"/>
      <c r="O88" s="44"/>
      <c r="P88" s="44"/>
      <c r="Q88" s="44"/>
      <c r="R88" s="44"/>
      <c r="S88" s="44"/>
      <c r="T88" s="44"/>
      <c r="U88" s="44"/>
      <c r="V88" s="44"/>
      <c r="W88" s="44"/>
      <c r="X88" s="44"/>
      <c r="Y88" s="44"/>
      <c r="Z88" s="44"/>
      <c r="AA88" s="44"/>
      <c r="AB88" s="44"/>
      <c r="AC88" s="44"/>
      <c r="AD88" s="44"/>
      <c r="AE88" s="44"/>
      <c r="AF88" s="44"/>
      <c r="AG88" s="44"/>
    </row>
    <row r="89" spans="1:33" x14ac:dyDescent="0.25">
      <c r="A89" s="44"/>
      <c r="B89" s="44"/>
      <c r="C89" s="44"/>
      <c r="D89" s="44"/>
      <c r="E89" s="44"/>
      <c r="F89" s="44"/>
      <c r="G89" s="44"/>
      <c r="H89" s="44"/>
      <c r="I89" s="44"/>
      <c r="J89" s="44"/>
      <c r="K89" s="44"/>
      <c r="L89" s="44"/>
      <c r="M89" s="44"/>
      <c r="N89" s="44"/>
      <c r="O89" s="44"/>
      <c r="P89" s="44"/>
      <c r="Q89" s="44"/>
      <c r="R89" s="44"/>
      <c r="S89" s="44"/>
      <c r="T89" s="44"/>
      <c r="U89" s="44"/>
      <c r="V89" s="44"/>
      <c r="W89" s="44"/>
      <c r="X89" s="44"/>
      <c r="Y89" s="44"/>
      <c r="Z89" s="44"/>
      <c r="AA89" s="44"/>
      <c r="AB89" s="44"/>
      <c r="AC89" s="44"/>
      <c r="AD89" s="44"/>
      <c r="AE89" s="44"/>
      <c r="AF89" s="44"/>
      <c r="AG89" s="44"/>
    </row>
    <row r="90" spans="1:33" x14ac:dyDescent="0.25">
      <c r="A90" s="44"/>
      <c r="B90" s="44"/>
      <c r="C90" s="44"/>
      <c r="D90" s="44"/>
      <c r="E90" s="44"/>
      <c r="F90" s="44"/>
      <c r="G90" s="44"/>
      <c r="H90" s="44"/>
      <c r="I90" s="44"/>
      <c r="J90" s="44"/>
      <c r="K90" s="44"/>
      <c r="L90" s="44"/>
      <c r="M90" s="44"/>
      <c r="N90" s="44"/>
      <c r="O90" s="44"/>
      <c r="P90" s="44"/>
      <c r="Q90" s="44"/>
      <c r="R90" s="44"/>
      <c r="S90" s="44"/>
      <c r="T90" s="44"/>
      <c r="U90" s="44"/>
      <c r="V90" s="44"/>
      <c r="W90" s="44"/>
      <c r="X90" s="44"/>
      <c r="Y90" s="44"/>
      <c r="Z90" s="44"/>
      <c r="AA90" s="44"/>
      <c r="AB90" s="44"/>
      <c r="AC90" s="44"/>
      <c r="AD90" s="44"/>
      <c r="AE90" s="44"/>
      <c r="AF90" s="44"/>
      <c r="AG90" s="44"/>
    </row>
    <row r="91" spans="1:33" x14ac:dyDescent="0.25">
      <c r="A91" s="44"/>
      <c r="B91" s="44"/>
      <c r="C91" s="44"/>
      <c r="D91" s="44"/>
      <c r="E91" s="44"/>
      <c r="F91" s="44"/>
      <c r="G91" s="44"/>
      <c r="H91" s="44"/>
      <c r="I91" s="44"/>
      <c r="J91" s="44"/>
      <c r="K91" s="44"/>
      <c r="L91" s="44"/>
      <c r="M91" s="44"/>
      <c r="N91" s="44"/>
      <c r="O91" s="44"/>
      <c r="P91" s="44"/>
      <c r="Q91" s="44"/>
      <c r="R91" s="44"/>
      <c r="S91" s="44"/>
      <c r="T91" s="44"/>
      <c r="U91" s="44"/>
      <c r="V91" s="44"/>
      <c r="W91" s="44"/>
      <c r="X91" s="44"/>
      <c r="Y91" s="44"/>
      <c r="Z91" s="44"/>
      <c r="AA91" s="44"/>
      <c r="AB91" s="44"/>
      <c r="AC91" s="44"/>
      <c r="AD91" s="44"/>
      <c r="AE91" s="44"/>
      <c r="AF91" s="44"/>
      <c r="AG91" s="44"/>
    </row>
    <row r="92" spans="1:33" x14ac:dyDescent="0.25">
      <c r="A92" s="44"/>
      <c r="B92" s="44"/>
      <c r="C92" s="44"/>
      <c r="D92" s="44"/>
      <c r="E92" s="44"/>
      <c r="F92" s="44"/>
      <c r="G92" s="44"/>
      <c r="H92" s="44"/>
      <c r="I92" s="44"/>
      <c r="J92" s="44"/>
      <c r="K92" s="44"/>
      <c r="L92" s="44"/>
      <c r="M92" s="44"/>
      <c r="N92" s="44"/>
      <c r="O92" s="44"/>
      <c r="P92" s="44"/>
      <c r="Q92" s="44"/>
      <c r="R92" s="44"/>
      <c r="S92" s="44"/>
      <c r="T92" s="44"/>
      <c r="U92" s="44"/>
      <c r="V92" s="44"/>
      <c r="W92" s="44"/>
      <c r="X92" s="44"/>
      <c r="Y92" s="44"/>
      <c r="Z92" s="44"/>
      <c r="AA92" s="44"/>
      <c r="AB92" s="44"/>
      <c r="AC92" s="44"/>
      <c r="AD92" s="44"/>
      <c r="AE92" s="44"/>
      <c r="AF92" s="44"/>
      <c r="AG92" s="44"/>
    </row>
    <row r="93" spans="1:33" x14ac:dyDescent="0.25">
      <c r="A93" s="44"/>
      <c r="B93" s="44"/>
      <c r="C93" s="44"/>
      <c r="D93" s="44"/>
      <c r="E93" s="44"/>
      <c r="F93" s="44"/>
      <c r="G93" s="44"/>
      <c r="H93" s="44"/>
      <c r="I93" s="44"/>
      <c r="J93" s="44"/>
      <c r="K93" s="44"/>
      <c r="L93" s="44"/>
      <c r="M93" s="44"/>
      <c r="N93" s="44"/>
      <c r="O93" s="44"/>
      <c r="P93" s="44"/>
      <c r="Q93" s="44"/>
      <c r="R93" s="44"/>
      <c r="S93" s="44"/>
      <c r="T93" s="44"/>
      <c r="U93" s="44"/>
      <c r="V93" s="44"/>
      <c r="W93" s="44"/>
      <c r="X93" s="44"/>
      <c r="Y93" s="44"/>
      <c r="Z93" s="44"/>
      <c r="AA93" s="44"/>
      <c r="AB93" s="44"/>
      <c r="AC93" s="44"/>
      <c r="AD93" s="44"/>
      <c r="AE93" s="44"/>
      <c r="AF93" s="44"/>
      <c r="AG93" s="44"/>
    </row>
    <row r="94" spans="1:33" x14ac:dyDescent="0.25">
      <c r="A94" s="44"/>
      <c r="B94" s="44"/>
      <c r="C94" s="44"/>
      <c r="D94" s="44"/>
      <c r="E94" s="44"/>
      <c r="F94" s="44"/>
      <c r="G94" s="44"/>
      <c r="H94" s="44"/>
      <c r="I94" s="44"/>
      <c r="J94" s="44"/>
      <c r="K94" s="44"/>
      <c r="L94" s="44"/>
      <c r="M94" s="44"/>
      <c r="N94" s="44"/>
      <c r="O94" s="44"/>
      <c r="P94" s="44"/>
      <c r="Q94" s="44"/>
      <c r="R94" s="44"/>
      <c r="S94" s="44"/>
      <c r="T94" s="44"/>
      <c r="U94" s="44"/>
      <c r="V94" s="44"/>
      <c r="W94" s="44"/>
      <c r="X94" s="44"/>
      <c r="Y94" s="44"/>
      <c r="Z94" s="44"/>
      <c r="AA94" s="44"/>
      <c r="AB94" s="44"/>
      <c r="AC94" s="44"/>
      <c r="AD94" s="44"/>
      <c r="AE94" s="44"/>
      <c r="AF94" s="44"/>
      <c r="AG94" s="44"/>
    </row>
    <row r="95" spans="1:33" x14ac:dyDescent="0.25">
      <c r="A95" s="44"/>
      <c r="B95" s="44"/>
      <c r="C95" s="44"/>
      <c r="D95" s="44"/>
      <c r="E95" s="44"/>
      <c r="F95" s="44"/>
      <c r="G95" s="44"/>
      <c r="H95" s="44"/>
      <c r="I95" s="44"/>
      <c r="J95" s="44"/>
      <c r="K95" s="44"/>
      <c r="L95" s="44"/>
      <c r="M95" s="44"/>
      <c r="N95" s="44"/>
      <c r="O95" s="44"/>
      <c r="P95" s="44"/>
      <c r="Q95" s="44"/>
      <c r="R95" s="44"/>
      <c r="S95" s="44"/>
      <c r="T95" s="44"/>
      <c r="U95" s="44"/>
      <c r="V95" s="44"/>
      <c r="W95" s="44"/>
      <c r="X95" s="44"/>
      <c r="Y95" s="44"/>
      <c r="Z95" s="44"/>
      <c r="AA95" s="44"/>
      <c r="AB95" s="44"/>
      <c r="AC95" s="44"/>
      <c r="AD95" s="44"/>
      <c r="AE95" s="44"/>
      <c r="AF95" s="44"/>
      <c r="AG95" s="44"/>
    </row>
    <row r="96" spans="1:33" x14ac:dyDescent="0.25">
      <c r="A96" s="44"/>
      <c r="B96" s="44"/>
      <c r="C96" s="44"/>
      <c r="D96" s="44"/>
      <c r="E96" s="44"/>
      <c r="F96" s="44"/>
      <c r="G96" s="44"/>
      <c r="H96" s="44"/>
      <c r="I96" s="44"/>
      <c r="J96" s="44"/>
      <c r="K96" s="44"/>
      <c r="L96" s="44"/>
      <c r="M96" s="44"/>
      <c r="N96" s="44"/>
      <c r="O96" s="44"/>
      <c r="P96" s="44"/>
      <c r="Q96" s="44"/>
      <c r="R96" s="44"/>
      <c r="S96" s="44"/>
      <c r="T96" s="44"/>
      <c r="U96" s="44"/>
      <c r="V96" s="44"/>
      <c r="W96" s="44"/>
      <c r="X96" s="44"/>
      <c r="Y96" s="44"/>
      <c r="Z96" s="44"/>
      <c r="AA96" s="44"/>
      <c r="AB96" s="44"/>
      <c r="AC96" s="44"/>
      <c r="AD96" s="44"/>
      <c r="AE96" s="44"/>
      <c r="AF96" s="44"/>
      <c r="AG96" s="44"/>
    </row>
    <row r="97" spans="1:33" x14ac:dyDescent="0.25">
      <c r="A97" s="44"/>
      <c r="B97" s="44"/>
      <c r="C97" s="44"/>
      <c r="D97" s="44"/>
      <c r="E97" s="44"/>
      <c r="F97" s="44"/>
      <c r="G97" s="44"/>
      <c r="H97" s="44"/>
      <c r="I97" s="44"/>
      <c r="J97" s="44"/>
      <c r="K97" s="44"/>
      <c r="L97" s="44"/>
      <c r="M97" s="44"/>
      <c r="N97" s="44"/>
      <c r="O97" s="44"/>
      <c r="P97" s="44"/>
      <c r="Q97" s="44"/>
      <c r="R97" s="44"/>
      <c r="S97" s="44"/>
      <c r="T97" s="44"/>
      <c r="U97" s="44"/>
      <c r="V97" s="44"/>
      <c r="W97" s="44"/>
      <c r="X97" s="44"/>
      <c r="Y97" s="44"/>
      <c r="Z97" s="44"/>
      <c r="AA97" s="44"/>
      <c r="AB97" s="44"/>
      <c r="AC97" s="44"/>
      <c r="AD97" s="44"/>
      <c r="AE97" s="44"/>
      <c r="AF97" s="44"/>
      <c r="AG97" s="44"/>
    </row>
    <row r="98" spans="1:33" x14ac:dyDescent="0.25">
      <c r="A98" s="44"/>
      <c r="B98" s="44"/>
      <c r="C98" s="44"/>
      <c r="D98" s="44"/>
      <c r="E98" s="44"/>
      <c r="F98" s="44"/>
      <c r="G98" s="44"/>
      <c r="H98" s="44"/>
      <c r="I98" s="44"/>
      <c r="J98" s="44"/>
      <c r="K98" s="44"/>
      <c r="L98" s="44"/>
      <c r="M98" s="44"/>
      <c r="N98" s="44"/>
      <c r="O98" s="44"/>
      <c r="P98" s="44"/>
      <c r="Q98" s="44"/>
      <c r="R98" s="44"/>
      <c r="S98" s="44"/>
      <c r="T98" s="44"/>
      <c r="U98" s="44"/>
      <c r="V98" s="44"/>
      <c r="W98" s="44"/>
      <c r="X98" s="44"/>
      <c r="Y98" s="44"/>
      <c r="Z98" s="44"/>
      <c r="AA98" s="44"/>
      <c r="AB98" s="44"/>
      <c r="AC98" s="44"/>
      <c r="AD98" s="44"/>
      <c r="AE98" s="44"/>
      <c r="AF98" s="44"/>
      <c r="AG98" s="44"/>
    </row>
    <row r="99" spans="1:33" x14ac:dyDescent="0.25">
      <c r="A99" s="44"/>
      <c r="B99" s="44"/>
      <c r="C99" s="44"/>
      <c r="D99" s="44"/>
      <c r="E99" s="44"/>
      <c r="F99" s="44"/>
      <c r="G99" s="44"/>
      <c r="H99" s="44"/>
      <c r="I99" s="44"/>
      <c r="J99" s="44"/>
      <c r="K99" s="44"/>
      <c r="L99" s="44"/>
      <c r="M99" s="44"/>
      <c r="N99" s="44"/>
      <c r="O99" s="44"/>
      <c r="P99" s="44"/>
      <c r="Q99" s="44"/>
      <c r="R99" s="44"/>
      <c r="S99" s="44"/>
      <c r="T99" s="44"/>
      <c r="U99" s="44"/>
      <c r="V99" s="44"/>
      <c r="W99" s="44"/>
      <c r="X99" s="44"/>
      <c r="Y99" s="44"/>
      <c r="Z99" s="44"/>
      <c r="AA99" s="44"/>
      <c r="AB99" s="44"/>
      <c r="AC99" s="44"/>
      <c r="AD99" s="44"/>
      <c r="AE99" s="44"/>
      <c r="AF99" s="44"/>
      <c r="AG99" s="44"/>
    </row>
    <row r="100" spans="1:33" x14ac:dyDescent="0.25">
      <c r="A100" s="44"/>
      <c r="B100" s="44"/>
      <c r="C100" s="44"/>
      <c r="D100" s="44"/>
      <c r="E100" s="44"/>
      <c r="F100" s="44"/>
      <c r="G100" s="44"/>
      <c r="H100" s="44"/>
      <c r="I100" s="44"/>
      <c r="J100" s="44"/>
      <c r="K100" s="44"/>
      <c r="L100" s="44"/>
      <c r="M100" s="44"/>
      <c r="N100" s="44"/>
      <c r="O100" s="44"/>
      <c r="P100" s="44"/>
      <c r="Q100" s="44"/>
      <c r="R100" s="44"/>
      <c r="S100" s="44"/>
      <c r="T100" s="44"/>
      <c r="U100" s="44"/>
      <c r="V100" s="44"/>
      <c r="W100" s="44"/>
      <c r="X100" s="44"/>
      <c r="Y100" s="44"/>
      <c r="Z100" s="44"/>
      <c r="AA100" s="44"/>
      <c r="AB100" s="44"/>
      <c r="AC100" s="44"/>
      <c r="AD100" s="44"/>
      <c r="AE100" s="44"/>
      <c r="AF100" s="44"/>
      <c r="AG100" s="44"/>
    </row>
    <row r="101" spans="1:33" x14ac:dyDescent="0.25">
      <c r="A101" s="44"/>
      <c r="B101" s="44"/>
      <c r="C101" s="44"/>
      <c r="D101" s="44"/>
      <c r="E101" s="44"/>
      <c r="F101" s="44"/>
      <c r="G101" s="44"/>
      <c r="H101" s="44"/>
      <c r="I101" s="44"/>
      <c r="J101" s="44"/>
      <c r="K101" s="44"/>
      <c r="L101" s="44"/>
      <c r="M101" s="44"/>
      <c r="N101" s="44"/>
      <c r="O101" s="44"/>
      <c r="P101" s="44"/>
      <c r="Q101" s="44"/>
      <c r="R101" s="44"/>
      <c r="S101" s="44"/>
      <c r="T101" s="44"/>
      <c r="U101" s="44"/>
      <c r="V101" s="44"/>
      <c r="W101" s="44"/>
      <c r="X101" s="44"/>
      <c r="Y101" s="44"/>
      <c r="Z101" s="44"/>
      <c r="AA101" s="44"/>
      <c r="AB101" s="44"/>
      <c r="AC101" s="44"/>
      <c r="AD101" s="44"/>
      <c r="AE101" s="44"/>
      <c r="AF101" s="44"/>
      <c r="AG101" s="44"/>
    </row>
    <row r="102" spans="1:33" x14ac:dyDescent="0.25">
      <c r="A102" s="44"/>
      <c r="B102" s="44"/>
      <c r="C102" s="44"/>
      <c r="D102" s="44"/>
      <c r="E102" s="44"/>
      <c r="F102" s="44"/>
      <c r="G102" s="44"/>
      <c r="H102" s="44"/>
      <c r="I102" s="44"/>
      <c r="J102" s="44"/>
      <c r="K102" s="44"/>
      <c r="L102" s="44"/>
      <c r="M102" s="44"/>
      <c r="N102" s="44"/>
      <c r="O102" s="44"/>
      <c r="P102" s="44"/>
      <c r="Q102" s="44"/>
      <c r="R102" s="44"/>
      <c r="S102" s="44"/>
      <c r="T102" s="44"/>
      <c r="U102" s="44"/>
      <c r="V102" s="44"/>
      <c r="W102" s="44"/>
      <c r="X102" s="44"/>
      <c r="Y102" s="44"/>
      <c r="Z102" s="44"/>
      <c r="AA102" s="44"/>
      <c r="AB102" s="44"/>
      <c r="AC102" s="44"/>
      <c r="AD102" s="44"/>
      <c r="AE102" s="44"/>
      <c r="AF102" s="44"/>
      <c r="AG102" s="44"/>
    </row>
    <row r="103" spans="1:33" x14ac:dyDescent="0.25">
      <c r="A103" s="44"/>
      <c r="B103" s="44"/>
      <c r="C103" s="44"/>
      <c r="D103" s="44"/>
      <c r="E103" s="44"/>
      <c r="F103" s="44"/>
      <c r="G103" s="44"/>
      <c r="H103" s="44"/>
      <c r="I103" s="44"/>
      <c r="J103" s="44"/>
      <c r="K103" s="44"/>
      <c r="L103" s="44"/>
      <c r="M103" s="44"/>
      <c r="N103" s="44"/>
      <c r="O103" s="44"/>
      <c r="P103" s="44"/>
      <c r="Q103" s="44"/>
      <c r="R103" s="44"/>
      <c r="S103" s="44"/>
      <c r="T103" s="44"/>
      <c r="U103" s="44"/>
      <c r="V103" s="44"/>
      <c r="W103" s="44"/>
      <c r="X103" s="44"/>
      <c r="Y103" s="44"/>
      <c r="Z103" s="44"/>
      <c r="AA103" s="44"/>
      <c r="AB103" s="44"/>
      <c r="AC103" s="44"/>
      <c r="AD103" s="44"/>
      <c r="AE103" s="44"/>
      <c r="AF103" s="44"/>
      <c r="AG103" s="44"/>
    </row>
    <row r="104" spans="1:33" x14ac:dyDescent="0.25">
      <c r="A104" s="44"/>
      <c r="B104" s="44"/>
      <c r="C104" s="44"/>
      <c r="D104" s="44"/>
      <c r="E104" s="44"/>
      <c r="F104" s="44"/>
      <c r="G104" s="44"/>
      <c r="H104" s="44"/>
      <c r="I104" s="44"/>
      <c r="J104" s="44"/>
      <c r="K104" s="44"/>
      <c r="L104" s="44"/>
      <c r="M104" s="44"/>
      <c r="N104" s="44"/>
      <c r="O104" s="44"/>
      <c r="P104" s="44"/>
      <c r="Q104" s="44"/>
      <c r="R104" s="44"/>
      <c r="S104" s="44"/>
      <c r="T104" s="44"/>
      <c r="U104" s="44"/>
      <c r="V104" s="44"/>
      <c r="W104" s="44"/>
      <c r="X104" s="44"/>
      <c r="Y104" s="44"/>
      <c r="Z104" s="44"/>
      <c r="AA104" s="44"/>
      <c r="AB104" s="44"/>
      <c r="AC104" s="44"/>
      <c r="AD104" s="44"/>
      <c r="AE104" s="44"/>
      <c r="AF104" s="44"/>
      <c r="AG104" s="44"/>
    </row>
    <row r="105" spans="1:33" x14ac:dyDescent="0.25">
      <c r="A105" s="44"/>
      <c r="B105" s="44"/>
      <c r="C105" s="44"/>
      <c r="D105" s="44"/>
      <c r="E105" s="44"/>
      <c r="F105" s="44"/>
      <c r="G105" s="44"/>
      <c r="H105" s="44"/>
      <c r="I105" s="44"/>
      <c r="J105" s="44"/>
      <c r="K105" s="44"/>
      <c r="L105" s="44"/>
      <c r="M105" s="44"/>
      <c r="N105" s="44"/>
      <c r="O105" s="44"/>
      <c r="P105" s="44"/>
      <c r="Q105" s="44"/>
      <c r="R105" s="44"/>
      <c r="S105" s="44"/>
      <c r="T105" s="44"/>
      <c r="U105" s="44"/>
      <c r="V105" s="44"/>
      <c r="W105" s="44"/>
      <c r="X105" s="44"/>
      <c r="Y105" s="44"/>
      <c r="Z105" s="44"/>
      <c r="AA105" s="44"/>
      <c r="AB105" s="44"/>
      <c r="AC105" s="44"/>
      <c r="AD105" s="44"/>
      <c r="AE105" s="44"/>
      <c r="AF105" s="44"/>
      <c r="AG105" s="44"/>
    </row>
    <row r="106" spans="1:33" x14ac:dyDescent="0.25">
      <c r="A106" s="44"/>
      <c r="B106" s="44"/>
      <c r="C106" s="44"/>
      <c r="D106" s="44"/>
      <c r="E106" s="44"/>
      <c r="F106" s="44"/>
      <c r="G106" s="44"/>
      <c r="H106" s="44"/>
      <c r="I106" s="44"/>
      <c r="J106" s="44"/>
      <c r="K106" s="44"/>
      <c r="L106" s="44"/>
      <c r="M106" s="44"/>
      <c r="N106" s="44"/>
      <c r="O106" s="44"/>
      <c r="P106" s="44"/>
      <c r="Q106" s="44"/>
      <c r="R106" s="44"/>
      <c r="S106" s="44"/>
      <c r="T106" s="44"/>
      <c r="U106" s="44"/>
      <c r="V106" s="44"/>
      <c r="W106" s="44"/>
      <c r="X106" s="44"/>
      <c r="Y106" s="44"/>
      <c r="Z106" s="44"/>
      <c r="AA106" s="44"/>
      <c r="AB106" s="44"/>
      <c r="AC106" s="44"/>
      <c r="AD106" s="44"/>
      <c r="AE106" s="44"/>
      <c r="AF106" s="44"/>
      <c r="AG106" s="44"/>
    </row>
    <row r="107" spans="1:33" x14ac:dyDescent="0.25">
      <c r="A107" s="44"/>
      <c r="B107" s="44"/>
      <c r="C107" s="44"/>
      <c r="D107" s="44"/>
      <c r="E107" s="44"/>
      <c r="F107" s="44"/>
      <c r="G107" s="44"/>
      <c r="H107" s="44"/>
      <c r="I107" s="44"/>
      <c r="J107" s="44"/>
      <c r="K107" s="44"/>
      <c r="L107" s="44"/>
      <c r="M107" s="44"/>
      <c r="N107" s="44"/>
      <c r="O107" s="44"/>
      <c r="P107" s="44"/>
      <c r="Q107" s="44"/>
      <c r="R107" s="44"/>
      <c r="S107" s="44"/>
      <c r="T107" s="44"/>
      <c r="U107" s="44"/>
      <c r="V107" s="44"/>
      <c r="W107" s="44"/>
      <c r="X107" s="44"/>
      <c r="Y107" s="44"/>
      <c r="Z107" s="44"/>
      <c r="AA107" s="44"/>
      <c r="AB107" s="44"/>
      <c r="AC107" s="44"/>
      <c r="AD107" s="44"/>
      <c r="AE107" s="44"/>
      <c r="AF107" s="44"/>
      <c r="AG107" s="44"/>
    </row>
    <row r="108" spans="1:33" x14ac:dyDescent="0.25">
      <c r="A108" s="44"/>
      <c r="B108" s="44"/>
      <c r="C108" s="44"/>
      <c r="D108" s="44"/>
      <c r="E108" s="44"/>
      <c r="F108" s="44"/>
      <c r="G108" s="44"/>
      <c r="H108" s="44"/>
      <c r="I108" s="44"/>
      <c r="J108" s="44"/>
      <c r="K108" s="44"/>
      <c r="L108" s="44"/>
      <c r="M108" s="44"/>
      <c r="N108" s="44"/>
      <c r="O108" s="44"/>
      <c r="P108" s="44"/>
      <c r="Q108" s="44"/>
      <c r="R108" s="44"/>
      <c r="S108" s="44"/>
      <c r="T108" s="44"/>
      <c r="U108" s="44"/>
      <c r="V108" s="44"/>
      <c r="W108" s="44"/>
      <c r="X108" s="44"/>
      <c r="Y108" s="44"/>
      <c r="Z108" s="44"/>
      <c r="AA108" s="44"/>
      <c r="AB108" s="44"/>
      <c r="AC108" s="44"/>
      <c r="AD108" s="44"/>
      <c r="AE108" s="44"/>
      <c r="AF108" s="44"/>
      <c r="AG108" s="44"/>
    </row>
    <row r="109" spans="1:33" x14ac:dyDescent="0.25">
      <c r="A109" s="44"/>
      <c r="B109" s="44"/>
      <c r="C109" s="44"/>
      <c r="D109" s="44"/>
      <c r="E109" s="44"/>
      <c r="F109" s="44"/>
      <c r="G109" s="44"/>
      <c r="H109" s="44"/>
      <c r="I109" s="44"/>
      <c r="J109" s="44"/>
      <c r="K109" s="44"/>
      <c r="L109" s="44"/>
      <c r="M109" s="44"/>
      <c r="N109" s="44"/>
      <c r="O109" s="44"/>
      <c r="P109" s="44"/>
      <c r="Q109" s="44"/>
      <c r="R109" s="44"/>
      <c r="S109" s="44"/>
      <c r="T109" s="44"/>
      <c r="U109" s="44"/>
      <c r="V109" s="44"/>
      <c r="W109" s="44"/>
      <c r="X109" s="44"/>
      <c r="Y109" s="44"/>
      <c r="Z109" s="44"/>
      <c r="AA109" s="44"/>
      <c r="AB109" s="44"/>
      <c r="AC109" s="44"/>
      <c r="AD109" s="44"/>
      <c r="AE109" s="44"/>
      <c r="AF109" s="44"/>
      <c r="AG109" s="44"/>
    </row>
    <row r="110" spans="1:33" x14ac:dyDescent="0.25">
      <c r="A110" s="44"/>
      <c r="B110" s="44"/>
      <c r="C110" s="44"/>
      <c r="D110" s="44"/>
      <c r="E110" s="44"/>
      <c r="F110" s="44"/>
      <c r="G110" s="44"/>
      <c r="H110" s="44"/>
      <c r="I110" s="44"/>
      <c r="J110" s="44"/>
      <c r="K110" s="44"/>
      <c r="L110" s="44"/>
      <c r="M110" s="44"/>
      <c r="N110" s="44"/>
      <c r="O110" s="44"/>
      <c r="P110" s="44"/>
      <c r="Q110" s="44"/>
      <c r="R110" s="44"/>
      <c r="S110" s="44"/>
      <c r="T110" s="44"/>
      <c r="U110" s="44"/>
      <c r="V110" s="44"/>
      <c r="W110" s="44"/>
      <c r="X110" s="44"/>
      <c r="Y110" s="44"/>
      <c r="Z110" s="44"/>
      <c r="AA110" s="44"/>
      <c r="AB110" s="44"/>
      <c r="AC110" s="44"/>
      <c r="AD110" s="44"/>
      <c r="AE110" s="44"/>
      <c r="AF110" s="44"/>
      <c r="AG110" s="44"/>
    </row>
    <row r="111" spans="1:33" x14ac:dyDescent="0.25">
      <c r="A111" s="44"/>
      <c r="B111" s="44"/>
      <c r="C111" s="44"/>
      <c r="D111" s="44"/>
      <c r="E111" s="44"/>
      <c r="F111" s="44"/>
      <c r="G111" s="44"/>
      <c r="H111" s="44"/>
      <c r="I111" s="44"/>
      <c r="J111" s="44"/>
      <c r="K111" s="44"/>
      <c r="L111" s="44"/>
      <c r="M111" s="44"/>
      <c r="N111" s="44"/>
      <c r="O111" s="44"/>
      <c r="P111" s="44"/>
      <c r="Q111" s="44"/>
      <c r="R111" s="44"/>
      <c r="S111" s="44"/>
      <c r="T111" s="44"/>
      <c r="U111" s="44"/>
      <c r="V111" s="44"/>
      <c r="W111" s="44"/>
      <c r="X111" s="44"/>
      <c r="Y111" s="44"/>
      <c r="Z111" s="44"/>
      <c r="AA111" s="44"/>
      <c r="AB111" s="44"/>
      <c r="AC111" s="44"/>
      <c r="AD111" s="44"/>
      <c r="AE111" s="44"/>
      <c r="AF111" s="44"/>
      <c r="AG111" s="44"/>
    </row>
    <row r="112" spans="1:33" x14ac:dyDescent="0.25">
      <c r="A112" s="44"/>
      <c r="B112" s="44"/>
      <c r="C112" s="44"/>
      <c r="D112" s="44"/>
      <c r="E112" s="44"/>
      <c r="F112" s="44"/>
      <c r="G112" s="44"/>
      <c r="H112" s="44"/>
      <c r="I112" s="44"/>
      <c r="J112" s="44"/>
      <c r="K112" s="44"/>
      <c r="L112" s="44"/>
      <c r="M112" s="44"/>
      <c r="N112" s="44"/>
      <c r="O112" s="44"/>
      <c r="P112" s="44"/>
      <c r="Q112" s="44"/>
      <c r="R112" s="44"/>
      <c r="S112" s="44"/>
      <c r="T112" s="44"/>
      <c r="U112" s="44"/>
      <c r="V112" s="44"/>
      <c r="W112" s="44"/>
      <c r="X112" s="44"/>
      <c r="Y112" s="44"/>
      <c r="Z112" s="44"/>
      <c r="AA112" s="44"/>
      <c r="AB112" s="44"/>
      <c r="AC112" s="44"/>
      <c r="AD112" s="44"/>
      <c r="AE112" s="44"/>
      <c r="AF112" s="44"/>
      <c r="AG112" s="44"/>
    </row>
    <row r="113" spans="1:33" x14ac:dyDescent="0.25">
      <c r="A113" s="44"/>
      <c r="B113" s="44"/>
      <c r="C113" s="44"/>
      <c r="D113" s="44"/>
      <c r="E113" s="44"/>
      <c r="F113" s="44"/>
      <c r="G113" s="44"/>
      <c r="H113" s="44"/>
      <c r="I113" s="44"/>
      <c r="J113" s="44"/>
      <c r="K113" s="44"/>
      <c r="L113" s="44"/>
      <c r="M113" s="44"/>
      <c r="N113" s="44"/>
      <c r="O113" s="44"/>
      <c r="P113" s="44"/>
      <c r="Q113" s="44"/>
      <c r="R113" s="44"/>
      <c r="S113" s="44"/>
      <c r="T113" s="44"/>
      <c r="U113" s="44"/>
      <c r="V113" s="44"/>
      <c r="W113" s="44"/>
      <c r="X113" s="44"/>
      <c r="Y113" s="44"/>
      <c r="Z113" s="44"/>
      <c r="AA113" s="44"/>
      <c r="AB113" s="44"/>
      <c r="AC113" s="44"/>
      <c r="AD113" s="44"/>
      <c r="AE113" s="44"/>
      <c r="AF113" s="44"/>
      <c r="AG113" s="44"/>
    </row>
    <row r="114" spans="1:33" x14ac:dyDescent="0.25">
      <c r="A114" s="44"/>
      <c r="B114" s="44"/>
      <c r="C114" s="44"/>
      <c r="D114" s="44"/>
      <c r="E114" s="44"/>
      <c r="F114" s="44"/>
      <c r="G114" s="44"/>
      <c r="H114" s="44"/>
      <c r="I114" s="44"/>
      <c r="J114" s="44"/>
      <c r="K114" s="44"/>
      <c r="L114" s="44"/>
      <c r="M114" s="44"/>
      <c r="N114" s="44"/>
      <c r="O114" s="44"/>
      <c r="P114" s="44"/>
      <c r="Q114" s="44"/>
      <c r="R114" s="44"/>
      <c r="S114" s="44"/>
      <c r="T114" s="44"/>
      <c r="U114" s="44"/>
      <c r="V114" s="44"/>
      <c r="W114" s="44"/>
      <c r="X114" s="44"/>
      <c r="Y114" s="44"/>
      <c r="Z114" s="44"/>
      <c r="AA114" s="44"/>
      <c r="AB114" s="44"/>
      <c r="AC114" s="44"/>
      <c r="AD114" s="44"/>
      <c r="AE114" s="44"/>
      <c r="AF114" s="44"/>
      <c r="AG114" s="44"/>
    </row>
    <row r="115" spans="1:33" x14ac:dyDescent="0.25">
      <c r="A115" s="44"/>
      <c r="B115" s="44"/>
      <c r="C115" s="44"/>
      <c r="D115" s="44"/>
      <c r="E115" s="44"/>
      <c r="F115" s="44"/>
      <c r="G115" s="44"/>
      <c r="H115" s="44"/>
      <c r="I115" s="44"/>
      <c r="J115" s="44"/>
      <c r="K115" s="44"/>
      <c r="L115" s="44"/>
      <c r="M115" s="44"/>
      <c r="N115" s="44"/>
      <c r="O115" s="44"/>
      <c r="P115" s="44"/>
      <c r="Q115" s="44"/>
      <c r="R115" s="44"/>
      <c r="S115" s="44"/>
      <c r="T115" s="44"/>
      <c r="U115" s="44"/>
      <c r="V115" s="44"/>
      <c r="W115" s="44"/>
      <c r="X115" s="44"/>
      <c r="Y115" s="44"/>
      <c r="Z115" s="44"/>
      <c r="AA115" s="44"/>
      <c r="AB115" s="44"/>
      <c r="AC115" s="44"/>
      <c r="AD115" s="44"/>
      <c r="AE115" s="44"/>
      <c r="AF115" s="44"/>
      <c r="AG115" s="44"/>
    </row>
    <row r="116" spans="1:33" x14ac:dyDescent="0.25">
      <c r="A116" s="44"/>
      <c r="B116" s="44"/>
      <c r="C116" s="44"/>
      <c r="D116" s="44"/>
      <c r="E116" s="44"/>
      <c r="F116" s="44"/>
      <c r="G116" s="44"/>
      <c r="H116" s="44"/>
      <c r="I116" s="44"/>
      <c r="J116" s="44"/>
      <c r="K116" s="44"/>
      <c r="L116" s="44"/>
      <c r="M116" s="44"/>
      <c r="N116" s="44"/>
      <c r="O116" s="44"/>
      <c r="P116" s="44"/>
      <c r="Q116" s="44"/>
      <c r="R116" s="44"/>
      <c r="S116" s="44"/>
      <c r="T116" s="44"/>
      <c r="U116" s="44"/>
      <c r="V116" s="44"/>
      <c r="W116" s="44"/>
      <c r="X116" s="44"/>
      <c r="Y116" s="44"/>
      <c r="Z116" s="44"/>
      <c r="AA116" s="44"/>
      <c r="AB116" s="44"/>
      <c r="AC116" s="44"/>
      <c r="AD116" s="44"/>
      <c r="AE116" s="44"/>
      <c r="AF116" s="44"/>
      <c r="AG116" s="44"/>
    </row>
    <row r="117" spans="1:33" x14ac:dyDescent="0.25">
      <c r="A117" s="44"/>
      <c r="B117" s="44"/>
      <c r="C117" s="44"/>
      <c r="D117" s="44"/>
      <c r="E117" s="44"/>
      <c r="F117" s="44"/>
      <c r="G117" s="44"/>
      <c r="H117" s="44"/>
      <c r="I117" s="44"/>
      <c r="J117" s="44"/>
      <c r="K117" s="44"/>
      <c r="L117" s="44"/>
      <c r="M117" s="44"/>
      <c r="N117" s="44"/>
      <c r="O117" s="44"/>
      <c r="P117" s="44"/>
      <c r="Q117" s="44"/>
      <c r="R117" s="44"/>
      <c r="S117" s="44"/>
      <c r="T117" s="44"/>
      <c r="U117" s="44"/>
      <c r="V117" s="44"/>
      <c r="W117" s="44"/>
      <c r="X117" s="44"/>
      <c r="Y117" s="44"/>
      <c r="Z117" s="44"/>
      <c r="AA117" s="44"/>
      <c r="AB117" s="44"/>
      <c r="AC117" s="44"/>
      <c r="AD117" s="44"/>
      <c r="AE117" s="44"/>
      <c r="AF117" s="44"/>
      <c r="AG117" s="44"/>
    </row>
    <row r="118" spans="1:33" x14ac:dyDescent="0.25">
      <c r="A118" s="44"/>
      <c r="B118" s="44"/>
      <c r="C118" s="44"/>
      <c r="D118" s="44"/>
      <c r="E118" s="44"/>
      <c r="F118" s="44"/>
      <c r="G118" s="44"/>
      <c r="H118" s="44"/>
      <c r="I118" s="44"/>
      <c r="J118" s="44"/>
      <c r="K118" s="44"/>
      <c r="L118" s="44"/>
      <c r="M118" s="44"/>
      <c r="N118" s="44"/>
      <c r="O118" s="44"/>
      <c r="P118" s="44"/>
      <c r="Q118" s="44"/>
      <c r="R118" s="44"/>
      <c r="S118" s="44"/>
      <c r="T118" s="44"/>
      <c r="U118" s="44"/>
      <c r="V118" s="44"/>
      <c r="W118" s="44"/>
      <c r="X118" s="44"/>
      <c r="Y118" s="44"/>
      <c r="Z118" s="44"/>
      <c r="AA118" s="44"/>
      <c r="AB118" s="44"/>
      <c r="AC118" s="44"/>
      <c r="AD118" s="44"/>
      <c r="AE118" s="44"/>
      <c r="AF118" s="44"/>
      <c r="AG118" s="44"/>
    </row>
    <row r="119" spans="1:33" x14ac:dyDescent="0.25">
      <c r="A119" s="44"/>
      <c r="B119" s="44"/>
      <c r="C119" s="44"/>
      <c r="D119" s="44"/>
      <c r="E119" s="44"/>
      <c r="F119" s="44"/>
      <c r="G119" s="44"/>
      <c r="H119" s="44"/>
      <c r="I119" s="44"/>
      <c r="J119" s="44"/>
      <c r="K119" s="44"/>
      <c r="L119" s="44"/>
      <c r="M119" s="44"/>
      <c r="N119" s="44"/>
      <c r="O119" s="44"/>
      <c r="P119" s="44"/>
      <c r="Q119" s="44"/>
      <c r="R119" s="44"/>
      <c r="S119" s="44"/>
      <c r="T119" s="44"/>
      <c r="U119" s="44"/>
      <c r="V119" s="44"/>
      <c r="W119" s="44"/>
      <c r="X119" s="44"/>
      <c r="Y119" s="44"/>
      <c r="Z119" s="44"/>
      <c r="AA119" s="44"/>
      <c r="AB119" s="44"/>
      <c r="AC119" s="44"/>
      <c r="AD119" s="44"/>
      <c r="AE119" s="44"/>
      <c r="AF119" s="44"/>
      <c r="AG119" s="44"/>
    </row>
    <row r="120" spans="1:33" x14ac:dyDescent="0.25">
      <c r="A120" s="44"/>
      <c r="B120" s="44"/>
      <c r="C120" s="44"/>
      <c r="D120" s="44"/>
      <c r="E120" s="44"/>
      <c r="F120" s="44"/>
      <c r="G120" s="44"/>
      <c r="H120" s="44"/>
      <c r="I120" s="44"/>
      <c r="J120" s="44"/>
      <c r="K120" s="44"/>
      <c r="L120" s="44"/>
      <c r="M120" s="44"/>
      <c r="N120" s="44"/>
      <c r="O120" s="44"/>
      <c r="P120" s="44"/>
      <c r="Q120" s="44"/>
      <c r="R120" s="44"/>
      <c r="S120" s="44"/>
      <c r="T120" s="44"/>
      <c r="U120" s="44"/>
      <c r="V120" s="44"/>
      <c r="W120" s="44"/>
      <c r="X120" s="44"/>
      <c r="Y120" s="44"/>
      <c r="Z120" s="44"/>
      <c r="AA120" s="44"/>
      <c r="AB120" s="44"/>
      <c r="AC120" s="44"/>
      <c r="AD120" s="44"/>
      <c r="AE120" s="44"/>
      <c r="AF120" s="44"/>
      <c r="AG120" s="44"/>
    </row>
    <row r="121" spans="1:33" x14ac:dyDescent="0.25">
      <c r="A121" s="44"/>
      <c r="B121" s="44"/>
      <c r="C121" s="44"/>
      <c r="D121" s="44"/>
      <c r="E121" s="44"/>
      <c r="F121" s="44"/>
      <c r="G121" s="44"/>
      <c r="H121" s="44"/>
      <c r="I121" s="44"/>
      <c r="J121" s="44"/>
      <c r="K121" s="44"/>
      <c r="L121" s="44"/>
      <c r="M121" s="44"/>
      <c r="N121" s="44"/>
      <c r="O121" s="44"/>
      <c r="P121" s="44"/>
      <c r="Q121" s="44"/>
      <c r="R121" s="44"/>
      <c r="S121" s="44"/>
      <c r="T121" s="44"/>
      <c r="U121" s="44"/>
      <c r="V121" s="44"/>
      <c r="W121" s="44"/>
      <c r="X121" s="44"/>
      <c r="Y121" s="44"/>
      <c r="Z121" s="44"/>
      <c r="AA121" s="44"/>
      <c r="AB121" s="44"/>
      <c r="AC121" s="44"/>
      <c r="AD121" s="44"/>
      <c r="AE121" s="44"/>
      <c r="AF121" s="44"/>
      <c r="AG121" s="44"/>
    </row>
    <row r="122" spans="1:33" x14ac:dyDescent="0.25">
      <c r="A122" s="44"/>
      <c r="B122" s="44"/>
      <c r="C122" s="44"/>
      <c r="D122" s="44"/>
      <c r="E122" s="44"/>
      <c r="F122" s="44"/>
      <c r="G122" s="44"/>
      <c r="H122" s="44"/>
      <c r="I122" s="44"/>
      <c r="J122" s="44"/>
      <c r="K122" s="44"/>
      <c r="L122" s="44"/>
      <c r="M122" s="44"/>
      <c r="N122" s="44"/>
      <c r="O122" s="44"/>
      <c r="P122" s="44"/>
      <c r="Q122" s="44"/>
      <c r="R122" s="44"/>
      <c r="S122" s="44"/>
      <c r="T122" s="44"/>
      <c r="U122" s="44"/>
      <c r="V122" s="44"/>
      <c r="W122" s="44"/>
      <c r="X122" s="44"/>
      <c r="Y122" s="44"/>
      <c r="Z122" s="44"/>
      <c r="AA122" s="44"/>
      <c r="AB122" s="44"/>
      <c r="AC122" s="44"/>
      <c r="AD122" s="44"/>
      <c r="AE122" s="44"/>
      <c r="AF122" s="44"/>
      <c r="AG122" s="44"/>
    </row>
    <row r="123" spans="1:33" x14ac:dyDescent="0.25">
      <c r="A123" s="44"/>
      <c r="B123" s="44"/>
      <c r="C123" s="44"/>
      <c r="D123" s="44"/>
      <c r="E123" s="44"/>
      <c r="F123" s="44"/>
      <c r="G123" s="44"/>
      <c r="H123" s="44"/>
      <c r="I123" s="44"/>
      <c r="J123" s="44"/>
      <c r="K123" s="44"/>
      <c r="L123" s="44"/>
      <c r="M123" s="44"/>
      <c r="N123" s="44"/>
      <c r="O123" s="44"/>
      <c r="P123" s="44"/>
      <c r="Q123" s="44"/>
      <c r="R123" s="44"/>
      <c r="S123" s="44"/>
      <c r="T123" s="44"/>
      <c r="U123" s="44"/>
      <c r="V123" s="44"/>
      <c r="W123" s="44"/>
      <c r="X123" s="44"/>
      <c r="Y123" s="44"/>
      <c r="Z123" s="44"/>
      <c r="AA123" s="44"/>
      <c r="AB123" s="44"/>
      <c r="AC123" s="44"/>
      <c r="AD123" s="44"/>
      <c r="AE123" s="44"/>
      <c r="AF123" s="44"/>
      <c r="AG123" s="44"/>
    </row>
    <row r="124" spans="1:33" x14ac:dyDescent="0.25">
      <c r="A124" s="44"/>
      <c r="B124" s="44"/>
      <c r="C124" s="44"/>
      <c r="D124" s="44"/>
      <c r="E124" s="44"/>
      <c r="F124" s="44"/>
      <c r="G124" s="44"/>
      <c r="H124" s="44"/>
      <c r="I124" s="44"/>
      <c r="J124" s="44"/>
      <c r="K124" s="44"/>
      <c r="L124" s="44"/>
      <c r="M124" s="44"/>
      <c r="N124" s="44"/>
      <c r="O124" s="44"/>
      <c r="P124" s="44"/>
      <c r="Q124" s="44"/>
      <c r="R124" s="44"/>
      <c r="S124" s="44"/>
      <c r="T124" s="44"/>
      <c r="U124" s="44"/>
      <c r="V124" s="44"/>
      <c r="W124" s="44"/>
      <c r="X124" s="44"/>
      <c r="Y124" s="44"/>
      <c r="Z124" s="44"/>
      <c r="AA124" s="44"/>
      <c r="AB124" s="44"/>
      <c r="AC124" s="44"/>
      <c r="AD124" s="44"/>
      <c r="AE124" s="44"/>
      <c r="AF124" s="44"/>
      <c r="AG124" s="44"/>
    </row>
    <row r="125" spans="1:33" x14ac:dyDescent="0.25">
      <c r="A125" s="44"/>
      <c r="B125" s="44"/>
      <c r="C125" s="44"/>
      <c r="D125" s="44"/>
      <c r="E125" s="44"/>
      <c r="F125" s="44"/>
      <c r="G125" s="44"/>
      <c r="H125" s="44"/>
      <c r="I125" s="44"/>
      <c r="J125" s="44"/>
      <c r="K125" s="44"/>
      <c r="L125" s="44"/>
      <c r="M125" s="44"/>
      <c r="N125" s="44"/>
      <c r="O125" s="44"/>
      <c r="P125" s="44"/>
      <c r="Q125" s="44"/>
      <c r="R125" s="44"/>
      <c r="S125" s="44"/>
      <c r="T125" s="44"/>
      <c r="U125" s="44"/>
      <c r="V125" s="44"/>
      <c r="W125" s="44"/>
      <c r="X125" s="44"/>
      <c r="Y125" s="44"/>
      <c r="Z125" s="44"/>
      <c r="AA125" s="44"/>
      <c r="AB125" s="44"/>
      <c r="AC125" s="44"/>
      <c r="AD125" s="44"/>
      <c r="AE125" s="44"/>
      <c r="AF125" s="44"/>
      <c r="AG125" s="44"/>
    </row>
    <row r="126" spans="1:33" x14ac:dyDescent="0.25">
      <c r="A126" s="44"/>
      <c r="B126" s="44"/>
      <c r="C126" s="44"/>
      <c r="D126" s="44"/>
      <c r="E126" s="44"/>
      <c r="F126" s="44"/>
      <c r="G126" s="44"/>
      <c r="H126" s="44"/>
      <c r="I126" s="44"/>
      <c r="J126" s="44"/>
      <c r="K126" s="44"/>
      <c r="L126" s="44"/>
      <c r="M126" s="44"/>
      <c r="N126" s="44"/>
      <c r="O126" s="44"/>
      <c r="P126" s="44"/>
      <c r="Q126" s="44"/>
      <c r="R126" s="44"/>
      <c r="S126" s="44"/>
      <c r="T126" s="44"/>
      <c r="U126" s="44"/>
      <c r="V126" s="44"/>
      <c r="W126" s="44"/>
      <c r="X126" s="44"/>
      <c r="Y126" s="44"/>
      <c r="Z126" s="44"/>
      <c r="AA126" s="44"/>
      <c r="AB126" s="44"/>
      <c r="AC126" s="44"/>
      <c r="AD126" s="44"/>
      <c r="AE126" s="44"/>
      <c r="AF126" s="44"/>
      <c r="AG126" s="44"/>
    </row>
    <row r="127" spans="1:33" x14ac:dyDescent="0.25">
      <c r="A127" s="44"/>
      <c r="B127" s="44"/>
      <c r="C127" s="44"/>
      <c r="D127" s="44"/>
      <c r="E127" s="44"/>
      <c r="F127" s="44"/>
      <c r="G127" s="44"/>
      <c r="H127" s="44"/>
      <c r="I127" s="44"/>
      <c r="J127" s="44"/>
      <c r="K127" s="44"/>
      <c r="L127" s="44"/>
      <c r="M127" s="44"/>
      <c r="N127" s="44"/>
      <c r="O127" s="44"/>
      <c r="P127" s="44"/>
      <c r="Q127" s="44"/>
      <c r="R127" s="44"/>
      <c r="S127" s="44"/>
      <c r="T127" s="44"/>
      <c r="U127" s="44"/>
      <c r="V127" s="44"/>
      <c r="W127" s="44"/>
      <c r="X127" s="44"/>
      <c r="Y127" s="44"/>
      <c r="Z127" s="44"/>
      <c r="AA127" s="44"/>
      <c r="AB127" s="44"/>
      <c r="AC127" s="44"/>
      <c r="AD127" s="44"/>
      <c r="AE127" s="44"/>
      <c r="AF127" s="44"/>
      <c r="AG127" s="44"/>
    </row>
    <row r="128" spans="1:33" x14ac:dyDescent="0.25">
      <c r="A128" s="44"/>
      <c r="B128" s="44"/>
      <c r="C128" s="44"/>
      <c r="D128" s="44"/>
      <c r="E128" s="44"/>
      <c r="F128" s="44"/>
      <c r="G128" s="44"/>
      <c r="H128" s="44"/>
      <c r="I128" s="44"/>
      <c r="J128" s="44"/>
      <c r="K128" s="44"/>
      <c r="L128" s="44"/>
      <c r="M128" s="44"/>
      <c r="N128" s="44"/>
      <c r="O128" s="44"/>
      <c r="P128" s="44"/>
      <c r="Q128" s="44"/>
      <c r="R128" s="44"/>
      <c r="S128" s="44"/>
      <c r="T128" s="44"/>
      <c r="U128" s="44"/>
      <c r="V128" s="44"/>
      <c r="W128" s="44"/>
      <c r="X128" s="44"/>
      <c r="Y128" s="44"/>
      <c r="Z128" s="44"/>
      <c r="AA128" s="44"/>
      <c r="AB128" s="44"/>
      <c r="AC128" s="44"/>
      <c r="AD128" s="44"/>
      <c r="AE128" s="44"/>
      <c r="AF128" s="44"/>
      <c r="AG128" s="44"/>
    </row>
    <row r="129" spans="1:33" x14ac:dyDescent="0.25">
      <c r="A129" s="44"/>
      <c r="B129" s="44"/>
      <c r="C129" s="44"/>
      <c r="D129" s="44"/>
      <c r="E129" s="44"/>
      <c r="F129" s="44"/>
      <c r="G129" s="44"/>
      <c r="H129" s="44"/>
      <c r="I129" s="44"/>
      <c r="J129" s="44"/>
      <c r="K129" s="44"/>
      <c r="L129" s="44"/>
      <c r="M129" s="44"/>
      <c r="N129" s="44"/>
      <c r="O129" s="44"/>
      <c r="P129" s="44"/>
      <c r="Q129" s="44"/>
      <c r="R129" s="44"/>
      <c r="S129" s="44"/>
      <c r="T129" s="44"/>
      <c r="U129" s="44"/>
      <c r="V129" s="44"/>
      <c r="W129" s="44"/>
      <c r="X129" s="44"/>
      <c r="Y129" s="44"/>
      <c r="Z129" s="44"/>
      <c r="AA129" s="44"/>
      <c r="AB129" s="44"/>
      <c r="AC129" s="44"/>
      <c r="AD129" s="44"/>
      <c r="AE129" s="44"/>
      <c r="AF129" s="44"/>
      <c r="AG129" s="44"/>
    </row>
    <row r="130" spans="1:33" x14ac:dyDescent="0.25">
      <c r="A130" s="44"/>
      <c r="B130" s="44"/>
      <c r="C130" s="44"/>
      <c r="D130" s="44"/>
      <c r="E130" s="44"/>
      <c r="F130" s="44"/>
      <c r="G130" s="44"/>
      <c r="H130" s="44"/>
      <c r="I130" s="44"/>
      <c r="J130" s="44"/>
      <c r="K130" s="44"/>
      <c r="L130" s="44"/>
      <c r="M130" s="44"/>
      <c r="N130" s="44"/>
      <c r="O130" s="44"/>
      <c r="P130" s="44"/>
      <c r="Q130" s="44"/>
      <c r="R130" s="44"/>
      <c r="S130" s="44"/>
      <c r="T130" s="44"/>
      <c r="U130" s="44"/>
      <c r="V130" s="44"/>
      <c r="W130" s="44"/>
      <c r="X130" s="44"/>
      <c r="Y130" s="44"/>
      <c r="Z130" s="44"/>
      <c r="AA130" s="44"/>
      <c r="AB130" s="44"/>
      <c r="AC130" s="44"/>
      <c r="AD130" s="44"/>
      <c r="AE130" s="44"/>
      <c r="AF130" s="44"/>
      <c r="AG130" s="44"/>
    </row>
    <row r="131" spans="1:33" x14ac:dyDescent="0.25">
      <c r="A131" s="44"/>
      <c r="B131" s="44"/>
      <c r="C131" s="44"/>
      <c r="D131" s="44"/>
      <c r="E131" s="44"/>
      <c r="F131" s="44"/>
      <c r="G131" s="44"/>
      <c r="H131" s="44"/>
      <c r="I131" s="44"/>
      <c r="J131" s="44"/>
      <c r="K131" s="44"/>
      <c r="L131" s="44"/>
      <c r="M131" s="44"/>
      <c r="N131" s="44"/>
      <c r="O131" s="44"/>
      <c r="P131" s="44"/>
      <c r="Q131" s="44"/>
      <c r="R131" s="44"/>
      <c r="S131" s="44"/>
      <c r="T131" s="44"/>
      <c r="U131" s="44"/>
      <c r="V131" s="44"/>
      <c r="W131" s="44"/>
      <c r="X131" s="44"/>
      <c r="Y131" s="44"/>
      <c r="Z131" s="44"/>
      <c r="AA131" s="44"/>
      <c r="AB131" s="44"/>
      <c r="AC131" s="44"/>
      <c r="AD131" s="44"/>
      <c r="AE131" s="44"/>
      <c r="AF131" s="44"/>
      <c r="AG131" s="44"/>
    </row>
    <row r="132" spans="1:33" x14ac:dyDescent="0.25">
      <c r="A132" s="44"/>
      <c r="B132" s="44"/>
      <c r="C132" s="44"/>
      <c r="D132" s="44"/>
      <c r="E132" s="44"/>
      <c r="F132" s="44"/>
      <c r="G132" s="44"/>
      <c r="H132" s="44"/>
      <c r="I132" s="44"/>
      <c r="J132" s="44"/>
      <c r="K132" s="44"/>
      <c r="L132" s="44"/>
      <c r="M132" s="44"/>
      <c r="N132" s="44"/>
      <c r="O132" s="44"/>
      <c r="P132" s="44"/>
      <c r="Q132" s="44"/>
      <c r="R132" s="44"/>
      <c r="S132" s="44"/>
      <c r="T132" s="44"/>
      <c r="U132" s="44"/>
      <c r="V132" s="44"/>
      <c r="W132" s="44"/>
      <c r="X132" s="44"/>
      <c r="Y132" s="44"/>
      <c r="Z132" s="44"/>
      <c r="AA132" s="44"/>
      <c r="AB132" s="44"/>
      <c r="AC132" s="44"/>
      <c r="AD132" s="44"/>
      <c r="AE132" s="44"/>
      <c r="AF132" s="44"/>
      <c r="AG132" s="44"/>
    </row>
    <row r="133" spans="1:33" x14ac:dyDescent="0.25">
      <c r="A133" s="44"/>
      <c r="B133" s="44"/>
      <c r="C133" s="44"/>
      <c r="D133" s="44"/>
      <c r="E133" s="44"/>
      <c r="F133" s="44"/>
      <c r="G133" s="44"/>
      <c r="H133" s="44"/>
      <c r="I133" s="44"/>
      <c r="J133" s="44"/>
      <c r="K133" s="44"/>
      <c r="L133" s="44"/>
      <c r="M133" s="44"/>
      <c r="N133" s="44"/>
      <c r="O133" s="44"/>
      <c r="P133" s="44"/>
      <c r="Q133" s="44"/>
      <c r="R133" s="44"/>
      <c r="S133" s="44"/>
      <c r="T133" s="44"/>
      <c r="U133" s="44"/>
      <c r="V133" s="44"/>
      <c r="W133" s="44"/>
      <c r="X133" s="44"/>
      <c r="Y133" s="44"/>
      <c r="Z133" s="44"/>
      <c r="AA133" s="44"/>
      <c r="AB133" s="44"/>
      <c r="AC133" s="44"/>
      <c r="AD133" s="44"/>
      <c r="AE133" s="44"/>
      <c r="AF133" s="44"/>
      <c r="AG133" s="44"/>
    </row>
    <row r="134" spans="1:33" x14ac:dyDescent="0.25">
      <c r="A134" s="44"/>
      <c r="B134" s="44"/>
      <c r="C134" s="44"/>
      <c r="D134" s="44"/>
      <c r="E134" s="44"/>
      <c r="F134" s="44"/>
      <c r="G134" s="44"/>
      <c r="H134" s="44"/>
      <c r="I134" s="44"/>
      <c r="J134" s="44"/>
      <c r="K134" s="44"/>
      <c r="L134" s="44"/>
      <c r="M134" s="44"/>
      <c r="N134" s="44"/>
      <c r="O134" s="44"/>
      <c r="P134" s="44"/>
      <c r="Q134" s="44"/>
      <c r="R134" s="44"/>
      <c r="S134" s="44"/>
      <c r="T134" s="44"/>
      <c r="U134" s="44"/>
      <c r="V134" s="44"/>
      <c r="W134" s="44"/>
      <c r="X134" s="44"/>
      <c r="Y134" s="44"/>
      <c r="Z134" s="44"/>
      <c r="AA134" s="44"/>
      <c r="AB134" s="44"/>
      <c r="AC134" s="44"/>
      <c r="AD134" s="44"/>
      <c r="AE134" s="44"/>
      <c r="AF134" s="44"/>
      <c r="AG134" s="44"/>
    </row>
    <row r="135" spans="1:33" x14ac:dyDescent="0.25">
      <c r="A135" s="44"/>
      <c r="B135" s="44"/>
      <c r="C135" s="44"/>
      <c r="D135" s="44"/>
      <c r="E135" s="44"/>
      <c r="F135" s="44"/>
      <c r="G135" s="44"/>
      <c r="H135" s="44"/>
      <c r="I135" s="44"/>
      <c r="J135" s="44"/>
      <c r="K135" s="44"/>
      <c r="L135" s="44"/>
      <c r="M135" s="44"/>
      <c r="N135" s="44"/>
      <c r="O135" s="44"/>
      <c r="P135" s="44"/>
      <c r="Q135" s="44"/>
      <c r="R135" s="44"/>
      <c r="S135" s="44"/>
      <c r="T135" s="44"/>
      <c r="U135" s="44"/>
      <c r="V135" s="44"/>
      <c r="W135" s="44"/>
      <c r="X135" s="44"/>
      <c r="Y135" s="44"/>
      <c r="Z135" s="44"/>
      <c r="AA135" s="44"/>
      <c r="AB135" s="44"/>
      <c r="AC135" s="44"/>
      <c r="AD135" s="44"/>
      <c r="AE135" s="44"/>
      <c r="AF135" s="44"/>
      <c r="AG135" s="44"/>
    </row>
    <row r="136" spans="1:33" x14ac:dyDescent="0.25">
      <c r="A136" s="44"/>
      <c r="B136" s="44"/>
      <c r="C136" s="44"/>
      <c r="D136" s="44"/>
      <c r="E136" s="44"/>
      <c r="F136" s="44"/>
      <c r="G136" s="44"/>
      <c r="H136" s="44"/>
      <c r="I136" s="44"/>
      <c r="J136" s="44"/>
      <c r="K136" s="44"/>
      <c r="L136" s="44"/>
      <c r="M136" s="44"/>
      <c r="N136" s="44"/>
      <c r="O136" s="44"/>
      <c r="P136" s="44"/>
      <c r="Q136" s="44"/>
      <c r="R136" s="44"/>
      <c r="S136" s="44"/>
      <c r="T136" s="44"/>
      <c r="U136" s="44"/>
      <c r="V136" s="44"/>
      <c r="W136" s="44"/>
      <c r="X136" s="44"/>
      <c r="Y136" s="44"/>
      <c r="Z136" s="44"/>
      <c r="AA136" s="44"/>
      <c r="AB136" s="44"/>
      <c r="AC136" s="44"/>
      <c r="AD136" s="44"/>
      <c r="AE136" s="44"/>
      <c r="AF136" s="44"/>
      <c r="AG136" s="44"/>
    </row>
    <row r="137" spans="1:33" x14ac:dyDescent="0.25">
      <c r="A137" s="44"/>
      <c r="B137" s="44"/>
      <c r="C137" s="44"/>
      <c r="D137" s="44"/>
      <c r="E137" s="44"/>
      <c r="F137" s="44"/>
      <c r="G137" s="44"/>
      <c r="H137" s="44"/>
      <c r="I137" s="44"/>
      <c r="J137" s="44"/>
      <c r="K137" s="44"/>
      <c r="L137" s="44"/>
      <c r="M137" s="44"/>
      <c r="N137" s="44"/>
      <c r="O137" s="44"/>
      <c r="P137" s="44"/>
      <c r="Q137" s="44"/>
      <c r="R137" s="44"/>
      <c r="S137" s="44"/>
      <c r="T137" s="44"/>
      <c r="U137" s="44"/>
      <c r="V137" s="44"/>
      <c r="W137" s="44"/>
      <c r="X137" s="44"/>
      <c r="Y137" s="44"/>
      <c r="Z137" s="44"/>
      <c r="AA137" s="44"/>
      <c r="AB137" s="44"/>
      <c r="AC137" s="44"/>
      <c r="AD137" s="44"/>
      <c r="AE137" s="44"/>
      <c r="AF137" s="44"/>
      <c r="AG137" s="44"/>
    </row>
    <row r="138" spans="1:33" x14ac:dyDescent="0.25">
      <c r="A138" s="44"/>
      <c r="B138" s="44"/>
      <c r="C138" s="44"/>
      <c r="D138" s="44"/>
      <c r="E138" s="44"/>
      <c r="F138" s="44"/>
      <c r="G138" s="44"/>
      <c r="H138" s="44"/>
      <c r="I138" s="44"/>
      <c r="J138" s="44"/>
      <c r="K138" s="44"/>
      <c r="L138" s="44"/>
      <c r="M138" s="44"/>
      <c r="N138" s="44"/>
      <c r="O138" s="44"/>
      <c r="P138" s="44"/>
      <c r="Q138" s="44"/>
      <c r="R138" s="44"/>
      <c r="S138" s="44"/>
      <c r="T138" s="44"/>
      <c r="U138" s="44"/>
      <c r="V138" s="44"/>
      <c r="W138" s="44"/>
      <c r="X138" s="44"/>
      <c r="Y138" s="44"/>
      <c r="Z138" s="44"/>
      <c r="AA138" s="44"/>
      <c r="AB138" s="44"/>
      <c r="AC138" s="44"/>
      <c r="AD138" s="44"/>
      <c r="AE138" s="44"/>
      <c r="AF138" s="44"/>
      <c r="AG138" s="44"/>
    </row>
    <row r="139" spans="1:33" x14ac:dyDescent="0.25">
      <c r="A139" s="44"/>
      <c r="B139" s="44"/>
      <c r="C139" s="44"/>
      <c r="D139" s="44"/>
      <c r="E139" s="44"/>
      <c r="F139" s="44"/>
      <c r="G139" s="44"/>
      <c r="H139" s="44"/>
      <c r="I139" s="44"/>
      <c r="J139" s="44"/>
      <c r="K139" s="44"/>
      <c r="L139" s="44"/>
      <c r="M139" s="44"/>
      <c r="N139" s="44"/>
      <c r="O139" s="44"/>
      <c r="P139" s="44"/>
      <c r="Q139" s="44"/>
      <c r="R139" s="44"/>
      <c r="S139" s="44"/>
      <c r="T139" s="44"/>
      <c r="U139" s="44"/>
      <c r="V139" s="44"/>
      <c r="W139" s="44"/>
      <c r="X139" s="44"/>
      <c r="Y139" s="44"/>
      <c r="Z139" s="44"/>
      <c r="AA139" s="44"/>
      <c r="AB139" s="44"/>
      <c r="AC139" s="44"/>
      <c r="AD139" s="44"/>
      <c r="AE139" s="44"/>
      <c r="AF139" s="44"/>
      <c r="AG139" s="44"/>
    </row>
    <row r="140" spans="1:33" x14ac:dyDescent="0.25">
      <c r="A140" s="44"/>
      <c r="B140" s="44"/>
      <c r="C140" s="44"/>
      <c r="D140" s="44"/>
      <c r="E140" s="44"/>
      <c r="F140" s="44"/>
      <c r="G140" s="44"/>
      <c r="H140" s="44"/>
      <c r="I140" s="44"/>
      <c r="J140" s="44"/>
      <c r="K140" s="44"/>
      <c r="L140" s="44"/>
      <c r="M140" s="44"/>
      <c r="N140" s="44"/>
      <c r="O140" s="44"/>
      <c r="P140" s="44"/>
      <c r="Q140" s="44"/>
      <c r="R140" s="44"/>
      <c r="S140" s="44"/>
      <c r="T140" s="44"/>
      <c r="U140" s="44"/>
      <c r="V140" s="44"/>
      <c r="W140" s="44"/>
      <c r="X140" s="44"/>
      <c r="Y140" s="44"/>
      <c r="Z140" s="44"/>
      <c r="AA140" s="44"/>
      <c r="AB140" s="44"/>
      <c r="AC140" s="44"/>
      <c r="AD140" s="44"/>
      <c r="AE140" s="44"/>
      <c r="AF140" s="44"/>
      <c r="AG140" s="44"/>
    </row>
  </sheetData>
  <mergeCells count="3">
    <mergeCell ref="A4:A12"/>
    <mergeCell ref="B1:C2"/>
    <mergeCell ref="A1:A2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43" r:id="rId4" name="TextBox1">
          <controlPr defaultSize="0" autoLine="0" r:id="rId5">
            <anchor moveWithCells="1">
              <from>
                <xdr:col>4</xdr:col>
                <xdr:colOff>76200</xdr:colOff>
                <xdr:row>15</xdr:row>
                <xdr:rowOff>295275</xdr:rowOff>
              </from>
              <to>
                <xdr:col>5</xdr:col>
                <xdr:colOff>133350</xdr:colOff>
                <xdr:row>15</xdr:row>
                <xdr:rowOff>523875</xdr:rowOff>
              </to>
            </anchor>
          </controlPr>
        </control>
      </mc:Choice>
      <mc:Fallback>
        <control shapeId="1043" r:id="rId4" name="TextBox1"/>
      </mc:Fallback>
    </mc:AlternateContent>
    <mc:AlternateContent xmlns:mc="http://schemas.openxmlformats.org/markup-compatibility/2006">
      <mc:Choice Requires="x14">
        <control shapeId="1050" r:id="rId6" name="TextBox2">
          <controlPr defaultSize="0" autoLine="0" autoPict="0" r:id="rId7">
            <anchor moveWithCells="1">
              <from>
                <xdr:col>4</xdr:col>
                <xdr:colOff>66675</xdr:colOff>
                <xdr:row>20</xdr:row>
                <xdr:rowOff>285750</xdr:rowOff>
              </from>
              <to>
                <xdr:col>5</xdr:col>
                <xdr:colOff>152400</xdr:colOff>
                <xdr:row>20</xdr:row>
                <xdr:rowOff>542925</xdr:rowOff>
              </to>
            </anchor>
          </controlPr>
        </control>
      </mc:Choice>
      <mc:Fallback>
        <control shapeId="1050" r:id="rId6" name="TextBox2"/>
      </mc:Fallback>
    </mc:AlternateContent>
    <mc:AlternateContent xmlns:mc="http://schemas.openxmlformats.org/markup-compatibility/2006">
      <mc:Choice Requires="x14">
        <control shapeId="1051" r:id="rId8" name="TextBox3">
          <controlPr defaultSize="0" autoLine="0" r:id="rId9">
            <anchor moveWithCells="1">
              <from>
                <xdr:col>4</xdr:col>
                <xdr:colOff>66675</xdr:colOff>
                <xdr:row>25</xdr:row>
                <xdr:rowOff>285750</xdr:rowOff>
              </from>
              <to>
                <xdr:col>5</xdr:col>
                <xdr:colOff>161925</xdr:colOff>
                <xdr:row>25</xdr:row>
                <xdr:rowOff>542925</xdr:rowOff>
              </to>
            </anchor>
          </controlPr>
        </control>
      </mc:Choice>
      <mc:Fallback>
        <control shapeId="1051" r:id="rId8" name="TextBox3"/>
      </mc:Fallback>
    </mc:AlternateContent>
    <mc:AlternateContent xmlns:mc="http://schemas.openxmlformats.org/markup-compatibility/2006">
      <mc:Choice Requires="x14">
        <control shapeId="1033" r:id="rId10" name="Drop Down 9">
          <controlPr defaultSize="0" autoLine="0" autoPict="0" macro="[0]!DropDown9_Selected">
            <anchor moveWithCells="1">
              <from>
                <xdr:col>3</xdr:col>
                <xdr:colOff>9525</xdr:colOff>
                <xdr:row>13</xdr:row>
                <xdr:rowOff>28575</xdr:rowOff>
              </from>
              <to>
                <xdr:col>5</xdr:col>
                <xdr:colOff>47625</xdr:colOff>
                <xdr:row>13</xdr:row>
                <xdr:rowOff>219075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6" r:id="rId11" name="Drop Down 12">
          <controlPr defaultSize="0" autoLine="0" autoPict="0" macro="[0]!Cmb_Company">
            <anchor moveWithCells="1">
              <from>
                <xdr:col>3</xdr:col>
                <xdr:colOff>47625</xdr:colOff>
                <xdr:row>2</xdr:row>
                <xdr:rowOff>19050</xdr:rowOff>
              </from>
              <to>
                <xdr:col>5</xdr:col>
                <xdr:colOff>0</xdr:colOff>
                <xdr:row>2</xdr:row>
                <xdr:rowOff>219075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8BB6F5-A65D-44E1-9E16-298D62967AB6}">
  <sheetPr codeName="Sheet5"/>
  <dimension ref="A1:BQ38"/>
  <sheetViews>
    <sheetView workbookViewId="0">
      <selection activeCell="A8" sqref="A8"/>
    </sheetView>
  </sheetViews>
  <sheetFormatPr defaultRowHeight="15" x14ac:dyDescent="0.25"/>
  <cols>
    <col min="1" max="1" width="15.28515625" style="1" customWidth="1"/>
    <col min="2" max="2" width="13" style="1" customWidth="1"/>
    <col min="3" max="3" width="14.5703125" style="1" customWidth="1"/>
    <col min="4" max="4" width="13.7109375" style="1" customWidth="1"/>
    <col min="5" max="5" width="11.5703125" style="1" customWidth="1"/>
    <col min="6" max="6" width="12.5703125" style="1" customWidth="1"/>
    <col min="7" max="7" width="9.7109375" customWidth="1"/>
    <col min="8" max="9" width="6.5703125" customWidth="1"/>
    <col min="10" max="10" width="7.140625" customWidth="1"/>
    <col min="11" max="11" width="0.7109375" customWidth="1"/>
    <col min="12" max="12" width="8.7109375" customWidth="1"/>
    <col min="15" max="15" width="0.5703125" customWidth="1"/>
    <col min="19" max="19" width="0.85546875" customWidth="1"/>
    <col min="23" max="23" width="0.85546875" customWidth="1"/>
    <col min="27" max="27" width="0.85546875" customWidth="1"/>
    <col min="31" max="31" width="0.85546875" customWidth="1"/>
    <col min="35" max="35" width="0.85546875" customWidth="1"/>
    <col min="39" max="39" width="0.7109375" customWidth="1"/>
    <col min="43" max="43" width="0.7109375" customWidth="1"/>
    <col min="47" max="47" width="0.7109375" customWidth="1"/>
    <col min="50" max="50" width="9.42578125" customWidth="1"/>
    <col min="51" max="51" width="0.7109375" customWidth="1"/>
    <col min="55" max="55" width="0.7109375" customWidth="1"/>
    <col min="59" max="59" width="2" customWidth="1"/>
    <col min="61" max="61" width="1.7109375" style="16" customWidth="1"/>
    <col min="65" max="65" width="1.7109375" style="16" customWidth="1"/>
  </cols>
  <sheetData>
    <row r="1" spans="1:69" x14ac:dyDescent="0.25">
      <c r="G1" s="9" t="s">
        <v>13</v>
      </c>
      <c r="H1" t="s">
        <v>14</v>
      </c>
      <c r="AN1" t="s">
        <v>15</v>
      </c>
    </row>
    <row r="2" spans="1:69" s="8" customFormat="1" ht="24" customHeight="1" x14ac:dyDescent="0.25">
      <c r="H2" s="82" t="s">
        <v>16</v>
      </c>
      <c r="I2" s="83"/>
      <c r="J2" s="83"/>
      <c r="L2" s="83" t="s">
        <v>17</v>
      </c>
      <c r="M2" s="83"/>
      <c r="N2" s="83"/>
      <c r="P2" s="83" t="s">
        <v>18</v>
      </c>
      <c r="Q2" s="83"/>
      <c r="R2" s="83"/>
      <c r="T2" s="83" t="s">
        <v>19</v>
      </c>
      <c r="U2" s="83"/>
      <c r="V2" s="83"/>
      <c r="X2" s="83" t="s">
        <v>20</v>
      </c>
      <c r="Y2" s="83"/>
      <c r="Z2" s="83"/>
      <c r="AB2" s="83" t="s">
        <v>21</v>
      </c>
      <c r="AC2" s="83"/>
      <c r="AD2" s="83"/>
      <c r="AF2" s="83" t="s">
        <v>22</v>
      </c>
      <c r="AG2" s="83"/>
      <c r="AH2" s="83"/>
      <c r="AJ2" s="83" t="s">
        <v>23</v>
      </c>
      <c r="AK2" s="83"/>
      <c r="AL2" s="83"/>
      <c r="AN2" s="83" t="s">
        <v>24</v>
      </c>
      <c r="AO2" s="83"/>
      <c r="AP2" s="83"/>
      <c r="AR2" s="83" t="s">
        <v>25</v>
      </c>
      <c r="AS2" s="83"/>
      <c r="AT2" s="83"/>
      <c r="AV2" s="85"/>
      <c r="AW2" s="85"/>
      <c r="AX2" s="85"/>
      <c r="AZ2" s="85"/>
      <c r="BA2" s="85"/>
      <c r="BB2" s="85"/>
      <c r="BD2" s="85"/>
      <c r="BE2" s="85"/>
      <c r="BF2" s="85"/>
      <c r="BH2" s="15" t="s">
        <v>26</v>
      </c>
      <c r="BI2" s="16"/>
      <c r="BJ2" s="84" t="s">
        <v>27</v>
      </c>
      <c r="BK2" s="84"/>
      <c r="BL2" s="84"/>
      <c r="BM2" s="16"/>
      <c r="BN2" s="84" t="s">
        <v>28</v>
      </c>
      <c r="BO2" s="84"/>
      <c r="BP2" s="84"/>
      <c r="BQ2"/>
    </row>
    <row r="3" spans="1:69" s="13" customFormat="1" ht="26.45" customHeight="1" x14ac:dyDescent="0.25">
      <c r="A3" s="28" t="s">
        <v>0</v>
      </c>
      <c r="B3" s="28" t="s">
        <v>2</v>
      </c>
      <c r="C3" s="28" t="s">
        <v>4</v>
      </c>
      <c r="D3" s="28" t="s">
        <v>5</v>
      </c>
      <c r="E3" s="28" t="s">
        <v>6</v>
      </c>
      <c r="F3" s="28" t="s">
        <v>7</v>
      </c>
      <c r="G3" s="12" t="s">
        <v>29</v>
      </c>
      <c r="H3" s="13" t="s">
        <v>30</v>
      </c>
      <c r="I3" s="13" t="s">
        <v>31</v>
      </c>
      <c r="J3" s="13" t="s">
        <v>32</v>
      </c>
      <c r="L3" s="13" t="s">
        <v>30</v>
      </c>
      <c r="M3" s="13" t="s">
        <v>31</v>
      </c>
      <c r="N3" s="13" t="s">
        <v>32</v>
      </c>
      <c r="P3" s="13" t="s">
        <v>30</v>
      </c>
      <c r="Q3" s="13" t="s">
        <v>31</v>
      </c>
      <c r="R3" s="13" t="s">
        <v>32</v>
      </c>
      <c r="T3" s="13" t="s">
        <v>30</v>
      </c>
      <c r="U3" s="13" t="s">
        <v>31</v>
      </c>
      <c r="V3" s="13" t="s">
        <v>32</v>
      </c>
      <c r="X3" s="13" t="s">
        <v>30</v>
      </c>
      <c r="Y3" s="13" t="s">
        <v>31</v>
      </c>
      <c r="Z3" s="13" t="s">
        <v>32</v>
      </c>
      <c r="AB3" s="13" t="s">
        <v>30</v>
      </c>
      <c r="AC3" s="13" t="s">
        <v>31</v>
      </c>
      <c r="AD3" s="13" t="s">
        <v>32</v>
      </c>
      <c r="AF3" s="13" t="s">
        <v>33</v>
      </c>
      <c r="AG3" s="13" t="s">
        <v>34</v>
      </c>
      <c r="AH3" s="13" t="s">
        <v>35</v>
      </c>
      <c r="AJ3" s="13" t="s">
        <v>33</v>
      </c>
      <c r="AK3" s="13" t="s">
        <v>34</v>
      </c>
      <c r="AL3" s="13" t="s">
        <v>35</v>
      </c>
      <c r="AN3" s="13" t="s">
        <v>30</v>
      </c>
      <c r="AO3" s="13" t="s">
        <v>31</v>
      </c>
      <c r="AP3" s="13" t="s">
        <v>32</v>
      </c>
      <c r="AR3" s="13" t="s">
        <v>30</v>
      </c>
      <c r="AS3" s="13" t="s">
        <v>31</v>
      </c>
      <c r="AT3" s="13" t="s">
        <v>32</v>
      </c>
      <c r="AV3" s="13" t="s">
        <v>30</v>
      </c>
      <c r="AW3" s="13" t="s">
        <v>31</v>
      </c>
      <c r="AX3" s="13" t="s">
        <v>32</v>
      </c>
      <c r="AZ3" s="13" t="s">
        <v>30</v>
      </c>
      <c r="BA3" s="13" t="s">
        <v>31</v>
      </c>
      <c r="BB3" s="13" t="s">
        <v>32</v>
      </c>
      <c r="BD3" s="13" t="s">
        <v>30</v>
      </c>
      <c r="BE3" s="13" t="s">
        <v>31</v>
      </c>
      <c r="BF3" s="13" t="s">
        <v>32</v>
      </c>
      <c r="BG3"/>
      <c r="BH3" s="8"/>
      <c r="BI3" s="17"/>
      <c r="BJ3" s="8" t="s">
        <v>30</v>
      </c>
      <c r="BK3" s="8" t="s">
        <v>31</v>
      </c>
      <c r="BL3" s="8" t="s">
        <v>32</v>
      </c>
      <c r="BM3" s="17"/>
      <c r="BN3" s="8" t="s">
        <v>30</v>
      </c>
      <c r="BO3" s="8" t="s">
        <v>31</v>
      </c>
      <c r="BP3" s="8" t="s">
        <v>32</v>
      </c>
      <c r="BQ3" s="8"/>
    </row>
    <row r="4" spans="1:69" s="23" customFormat="1" x14ac:dyDescent="0.25">
      <c r="A4" s="1" t="s">
        <v>1</v>
      </c>
      <c r="B4" s="1" t="s">
        <v>3</v>
      </c>
      <c r="C4" s="1"/>
      <c r="D4" s="1"/>
      <c r="E4" s="1"/>
      <c r="F4" s="1"/>
      <c r="G4" s="24"/>
      <c r="H4" s="25">
        <v>120</v>
      </c>
      <c r="I4" s="25">
        <v>240</v>
      </c>
      <c r="J4" s="25">
        <v>360</v>
      </c>
      <c r="L4" s="23">
        <v>75</v>
      </c>
      <c r="M4" s="23">
        <v>150</v>
      </c>
      <c r="N4" s="23">
        <v>225</v>
      </c>
      <c r="P4" s="23">
        <f t="shared" ref="P4:R6" si="0">H4+L4</f>
        <v>195</v>
      </c>
      <c r="Q4" s="23">
        <f t="shared" si="0"/>
        <v>390</v>
      </c>
      <c r="R4" s="23">
        <f t="shared" si="0"/>
        <v>585</v>
      </c>
      <c r="T4" s="23">
        <v>135</v>
      </c>
      <c r="U4" s="23">
        <f>T4*2</f>
        <v>270</v>
      </c>
      <c r="V4" s="23">
        <f>T4*3</f>
        <v>405</v>
      </c>
      <c r="X4" s="23">
        <v>125</v>
      </c>
      <c r="Y4" s="23">
        <f>X4*2</f>
        <v>250</v>
      </c>
      <c r="Z4" s="23">
        <f>X4*3</f>
        <v>375</v>
      </c>
      <c r="AB4" s="23">
        <v>75</v>
      </c>
      <c r="AC4" s="23">
        <f>AB4*2</f>
        <v>150</v>
      </c>
      <c r="AD4" s="23">
        <f>AB4*3</f>
        <v>225</v>
      </c>
      <c r="AF4" s="23">
        <v>75</v>
      </c>
      <c r="AG4" s="23">
        <f>AF4*2</f>
        <v>150</v>
      </c>
      <c r="AH4" s="23">
        <f>AF4*3</f>
        <v>225</v>
      </c>
      <c r="AJ4" s="23">
        <v>95</v>
      </c>
      <c r="AK4" s="23">
        <f>AJ4*2</f>
        <v>190</v>
      </c>
      <c r="AL4" s="23">
        <f>AJ4*3</f>
        <v>285</v>
      </c>
      <c r="AN4" s="23">
        <v>150</v>
      </c>
      <c r="AO4" s="23">
        <f>AN4*2</f>
        <v>300</v>
      </c>
      <c r="AP4" s="23">
        <f>AN4*3</f>
        <v>450</v>
      </c>
      <c r="AR4" s="23">
        <v>75</v>
      </c>
      <c r="AS4" s="23">
        <f>AR4*2</f>
        <v>150</v>
      </c>
      <c r="AT4" s="23">
        <f>AR4*3</f>
        <v>225</v>
      </c>
      <c r="BI4" s="26"/>
      <c r="BM4" s="26"/>
      <c r="BQ4" s="27"/>
    </row>
    <row r="5" spans="1:69" s="23" customFormat="1" x14ac:dyDescent="0.25">
      <c r="A5" s="1" t="s">
        <v>36</v>
      </c>
      <c r="B5" s="1" t="s">
        <v>37</v>
      </c>
      <c r="C5" s="1" t="s">
        <v>38</v>
      </c>
      <c r="D5" s="1" t="s">
        <v>39</v>
      </c>
      <c r="E5" s="1" t="s">
        <v>40</v>
      </c>
      <c r="F5" s="1" t="s">
        <v>41</v>
      </c>
      <c r="G5" s="24"/>
      <c r="H5" s="25">
        <v>120</v>
      </c>
      <c r="I5" s="25">
        <v>240</v>
      </c>
      <c r="J5" s="25">
        <v>360</v>
      </c>
      <c r="L5" s="23">
        <v>75</v>
      </c>
      <c r="M5" s="23">
        <v>150</v>
      </c>
      <c r="N5" s="23">
        <v>225</v>
      </c>
      <c r="P5" s="23">
        <v>195</v>
      </c>
      <c r="Q5" s="23">
        <v>390</v>
      </c>
      <c r="R5" s="23">
        <v>585</v>
      </c>
      <c r="T5" s="23">
        <v>135</v>
      </c>
      <c r="U5" s="23">
        <f>T5*2</f>
        <v>270</v>
      </c>
      <c r="V5" s="23">
        <f>T5*3</f>
        <v>405</v>
      </c>
      <c r="X5" s="23">
        <v>125</v>
      </c>
      <c r="Y5" s="23">
        <f>X5*2</f>
        <v>250</v>
      </c>
      <c r="Z5" s="23">
        <f>X5*3</f>
        <v>375</v>
      </c>
      <c r="AB5" s="23">
        <v>75</v>
      </c>
      <c r="AC5" s="23">
        <f>AB5*2</f>
        <v>150</v>
      </c>
      <c r="AD5" s="23">
        <f>AB5*3</f>
        <v>225</v>
      </c>
      <c r="AF5" s="23">
        <v>75</v>
      </c>
      <c r="AG5" s="23">
        <f>AF5*2</f>
        <v>150</v>
      </c>
      <c r="AH5" s="23">
        <f>AF5*3</f>
        <v>225</v>
      </c>
      <c r="AJ5" s="23">
        <v>95</v>
      </c>
      <c r="AK5" s="23">
        <f>AJ5*2</f>
        <v>190</v>
      </c>
      <c r="AL5" s="23">
        <f>AJ5*3</f>
        <v>285</v>
      </c>
      <c r="AN5" s="23">
        <v>150</v>
      </c>
      <c r="AO5" s="23">
        <f>AN5*2</f>
        <v>300</v>
      </c>
      <c r="AP5" s="23">
        <f>AN5*3</f>
        <v>450</v>
      </c>
      <c r="AR5" s="23">
        <v>75</v>
      </c>
      <c r="AS5" s="23">
        <f>AR5*2</f>
        <v>150</v>
      </c>
      <c r="AT5" s="23">
        <f>AR5*3</f>
        <v>225</v>
      </c>
      <c r="BI5" s="26"/>
      <c r="BM5" s="26"/>
      <c r="BQ5" s="27"/>
    </row>
    <row r="6" spans="1:69" s="23" customFormat="1" x14ac:dyDescent="0.25">
      <c r="A6" s="1" t="s">
        <v>42</v>
      </c>
      <c r="B6" s="1" t="s">
        <v>43</v>
      </c>
      <c r="C6" s="1" t="s">
        <v>44</v>
      </c>
      <c r="D6" s="1" t="s">
        <v>45</v>
      </c>
      <c r="E6" s="1" t="s">
        <v>40</v>
      </c>
      <c r="F6" s="1" t="s">
        <v>46</v>
      </c>
      <c r="H6" s="25">
        <v>100</v>
      </c>
      <c r="I6" s="25">
        <v>200</v>
      </c>
      <c r="J6" s="25">
        <v>300</v>
      </c>
      <c r="L6" s="23">
        <v>60</v>
      </c>
      <c r="M6" s="23">
        <v>120</v>
      </c>
      <c r="N6" s="23">
        <v>180</v>
      </c>
      <c r="P6" s="23">
        <f t="shared" si="0"/>
        <v>160</v>
      </c>
      <c r="Q6" s="23">
        <f t="shared" si="0"/>
        <v>320</v>
      </c>
      <c r="R6" s="23">
        <f t="shared" si="0"/>
        <v>480</v>
      </c>
      <c r="T6" s="23">
        <v>110</v>
      </c>
      <c r="U6" s="23">
        <f>T6*2</f>
        <v>220</v>
      </c>
      <c r="V6" s="23">
        <f>T6*3</f>
        <v>330</v>
      </c>
      <c r="X6" s="23">
        <v>105</v>
      </c>
      <c r="Y6" s="23">
        <f>X6*2</f>
        <v>210</v>
      </c>
      <c r="Z6" s="23">
        <f>X6*3</f>
        <v>315</v>
      </c>
      <c r="AB6" s="23">
        <v>50</v>
      </c>
      <c r="AC6" s="23">
        <f>AB6*2</f>
        <v>100</v>
      </c>
      <c r="AD6" s="23">
        <f>AB6*3</f>
        <v>150</v>
      </c>
      <c r="AF6" s="23">
        <v>50</v>
      </c>
      <c r="AG6" s="23">
        <f>AF6*2</f>
        <v>100</v>
      </c>
      <c r="AH6" s="23">
        <f>AF6*3</f>
        <v>150</v>
      </c>
      <c r="AJ6" s="23">
        <v>75</v>
      </c>
      <c r="AK6" s="23">
        <f>AJ6*2</f>
        <v>150</v>
      </c>
      <c r="AL6" s="23">
        <f>AJ6*3</f>
        <v>225</v>
      </c>
      <c r="AN6" s="23">
        <v>105</v>
      </c>
      <c r="AO6" s="23">
        <f>AN6*2</f>
        <v>210</v>
      </c>
      <c r="AP6" s="23">
        <f>AN6*3</f>
        <v>315</v>
      </c>
      <c r="AR6" s="23">
        <v>69.5</v>
      </c>
      <c r="AS6" s="23">
        <f>AR6*2</f>
        <v>139</v>
      </c>
      <c r="AT6" s="23">
        <f>AR6*3</f>
        <v>208.5</v>
      </c>
      <c r="BI6" s="26"/>
      <c r="BM6" s="26"/>
      <c r="BQ6" s="27"/>
    </row>
    <row r="7" spans="1:69" s="23" customFormat="1" x14ac:dyDescent="0.25">
      <c r="A7" s="1" t="s">
        <v>82</v>
      </c>
      <c r="B7" s="1" t="s">
        <v>83</v>
      </c>
      <c r="C7" s="1" t="s">
        <v>44</v>
      </c>
      <c r="D7" s="1" t="s">
        <v>45</v>
      </c>
      <c r="E7" s="1" t="s">
        <v>40</v>
      </c>
      <c r="F7" s="1" t="s">
        <v>46</v>
      </c>
      <c r="H7" s="23">
        <v>120</v>
      </c>
      <c r="I7" s="23">
        <v>240</v>
      </c>
      <c r="J7" s="23">
        <v>360</v>
      </c>
      <c r="BI7" s="26"/>
      <c r="BM7" s="26"/>
    </row>
    <row r="8" spans="1:69" s="23" customFormat="1" x14ac:dyDescent="0.25">
      <c r="A8" s="1"/>
      <c r="B8" s="1"/>
      <c r="C8" s="1"/>
      <c r="D8" s="1"/>
      <c r="E8" s="1"/>
      <c r="F8" s="1"/>
      <c r="BI8" s="26"/>
      <c r="BM8" s="26"/>
    </row>
    <row r="9" spans="1:69" s="23" customFormat="1" x14ac:dyDescent="0.25">
      <c r="A9" s="1"/>
      <c r="B9" s="1"/>
      <c r="C9" s="1"/>
      <c r="D9" s="1"/>
      <c r="E9" s="1"/>
      <c r="F9" s="1"/>
      <c r="BI9" s="26"/>
      <c r="BM9" s="26"/>
    </row>
    <row r="10" spans="1:69" s="23" customFormat="1" x14ac:dyDescent="0.25">
      <c r="A10" s="1"/>
      <c r="B10" s="1"/>
      <c r="C10" s="1"/>
      <c r="D10" s="1"/>
      <c r="E10" s="1"/>
      <c r="F10" s="1"/>
      <c r="BI10" s="26"/>
      <c r="BM10" s="26"/>
    </row>
    <row r="11" spans="1:69" s="23" customFormat="1" x14ac:dyDescent="0.25">
      <c r="A11" s="1"/>
      <c r="B11" s="1"/>
      <c r="C11" s="1"/>
      <c r="D11" s="1"/>
      <c r="E11" s="1"/>
      <c r="F11" s="1"/>
      <c r="BI11" s="26"/>
      <c r="BM11" s="26"/>
    </row>
    <row r="12" spans="1:69" s="23" customFormat="1" x14ac:dyDescent="0.25">
      <c r="A12" s="1"/>
      <c r="B12" s="1"/>
      <c r="C12" s="1"/>
      <c r="D12" s="1"/>
      <c r="E12" s="1"/>
      <c r="F12" s="1"/>
      <c r="BI12" s="26"/>
      <c r="BM12" s="26"/>
    </row>
    <row r="13" spans="1:69" s="23" customFormat="1" x14ac:dyDescent="0.25">
      <c r="A13" s="1"/>
      <c r="B13" s="1"/>
      <c r="C13" s="1"/>
      <c r="D13" s="1"/>
      <c r="E13" s="1"/>
      <c r="F13" s="1"/>
      <c r="BI13" s="26"/>
      <c r="BM13" s="26"/>
    </row>
    <row r="14" spans="1:69" s="23" customFormat="1" x14ac:dyDescent="0.25">
      <c r="A14" s="1"/>
      <c r="B14" s="1"/>
      <c r="C14" s="1"/>
      <c r="D14" s="1"/>
      <c r="E14" s="1"/>
      <c r="F14" s="1"/>
      <c r="BI14" s="26"/>
      <c r="BM14" s="26"/>
    </row>
    <row r="15" spans="1:69" s="23" customFormat="1" x14ac:dyDescent="0.25">
      <c r="A15" s="1"/>
      <c r="B15" s="1"/>
      <c r="C15" s="1"/>
      <c r="D15" s="1"/>
      <c r="E15" s="1"/>
      <c r="F15" s="1"/>
      <c r="BI15" s="26"/>
      <c r="BM15" s="26"/>
    </row>
    <row r="16" spans="1:69" s="23" customFormat="1" x14ac:dyDescent="0.25">
      <c r="A16" s="1"/>
      <c r="B16" s="1"/>
      <c r="C16" s="1"/>
      <c r="D16" s="1"/>
      <c r="E16" s="1"/>
      <c r="F16" s="1"/>
      <c r="BI16" s="26"/>
      <c r="BM16" s="26"/>
    </row>
    <row r="17" spans="1:65" s="23" customFormat="1" x14ac:dyDescent="0.25">
      <c r="A17" s="1"/>
      <c r="B17" s="1"/>
      <c r="C17" s="1"/>
      <c r="D17" s="1"/>
      <c r="E17" s="1"/>
      <c r="F17" s="1"/>
      <c r="BI17" s="26"/>
      <c r="BM17" s="26"/>
    </row>
    <row r="18" spans="1:65" s="23" customFormat="1" x14ac:dyDescent="0.25">
      <c r="A18" s="1"/>
      <c r="B18" s="1"/>
      <c r="C18" s="1"/>
      <c r="D18" s="1"/>
      <c r="E18" s="1"/>
      <c r="F18" s="1"/>
      <c r="BI18" s="26"/>
      <c r="BM18" s="26"/>
    </row>
    <row r="19" spans="1:65" s="23" customFormat="1" x14ac:dyDescent="0.25">
      <c r="A19" s="1"/>
      <c r="B19" s="1"/>
      <c r="C19" s="1"/>
      <c r="D19" s="1"/>
      <c r="E19" s="1"/>
      <c r="F19" s="1"/>
      <c r="BI19" s="26"/>
      <c r="BM19" s="26"/>
    </row>
    <row r="20" spans="1:65" s="23" customFormat="1" x14ac:dyDescent="0.25">
      <c r="A20" s="1"/>
      <c r="B20" s="1"/>
      <c r="C20" s="1"/>
      <c r="D20" s="1"/>
      <c r="E20" s="1"/>
      <c r="F20" s="1"/>
      <c r="BI20" s="26"/>
      <c r="BM20" s="26"/>
    </row>
    <row r="21" spans="1:65" s="23" customFormat="1" x14ac:dyDescent="0.25">
      <c r="A21" s="1"/>
      <c r="B21" s="1"/>
      <c r="C21" s="1"/>
      <c r="D21" s="1"/>
      <c r="E21" s="1"/>
      <c r="F21" s="1"/>
      <c r="BI21" s="26"/>
      <c r="BM21" s="26"/>
    </row>
    <row r="22" spans="1:65" s="23" customFormat="1" x14ac:dyDescent="0.25">
      <c r="A22" s="1"/>
      <c r="B22" s="1"/>
      <c r="C22" s="1"/>
      <c r="D22" s="1"/>
      <c r="E22" s="1"/>
      <c r="F22" s="1"/>
      <c r="BI22" s="26"/>
      <c r="BM22" s="26"/>
    </row>
    <row r="23" spans="1:65" s="23" customFormat="1" x14ac:dyDescent="0.25">
      <c r="A23" s="1"/>
      <c r="B23" s="1"/>
      <c r="C23" s="1"/>
      <c r="D23" s="1"/>
      <c r="E23" s="1"/>
      <c r="F23" s="1"/>
      <c r="BI23" s="26"/>
      <c r="BM23" s="26"/>
    </row>
    <row r="24" spans="1:65" s="23" customFormat="1" x14ac:dyDescent="0.25">
      <c r="A24" s="1"/>
      <c r="B24" s="1"/>
      <c r="C24" s="1"/>
      <c r="D24" s="1"/>
      <c r="E24" s="1"/>
      <c r="F24" s="1"/>
      <c r="BI24" s="26"/>
      <c r="BM24" s="26"/>
    </row>
    <row r="25" spans="1:65" s="23" customFormat="1" x14ac:dyDescent="0.25">
      <c r="A25" s="1"/>
      <c r="B25" s="1"/>
      <c r="C25" s="1"/>
      <c r="D25" s="1"/>
      <c r="E25" s="1"/>
      <c r="F25" s="1"/>
      <c r="BI25" s="26"/>
      <c r="BM25" s="26"/>
    </row>
    <row r="26" spans="1:65" s="23" customFormat="1" x14ac:dyDescent="0.25">
      <c r="A26" s="1"/>
      <c r="B26" s="1"/>
      <c r="C26" s="1"/>
      <c r="D26" s="1"/>
      <c r="E26" s="1"/>
      <c r="F26" s="1"/>
      <c r="BI26" s="26"/>
      <c r="BM26" s="26"/>
    </row>
    <row r="27" spans="1:65" s="23" customFormat="1" x14ac:dyDescent="0.25">
      <c r="A27" s="1"/>
      <c r="B27" s="1"/>
      <c r="C27" s="1"/>
      <c r="D27" s="1"/>
      <c r="E27" s="1"/>
      <c r="F27" s="1"/>
      <c r="BI27" s="26"/>
      <c r="BM27" s="26"/>
    </row>
    <row r="28" spans="1:65" s="23" customFormat="1" x14ac:dyDescent="0.25">
      <c r="A28" s="1"/>
      <c r="B28" s="1"/>
      <c r="C28" s="1"/>
      <c r="D28" s="1"/>
      <c r="E28" s="1"/>
      <c r="F28" s="1"/>
      <c r="BI28" s="26"/>
      <c r="BM28" s="26"/>
    </row>
    <row r="29" spans="1:65" s="23" customFormat="1" x14ac:dyDescent="0.25">
      <c r="A29" s="1"/>
      <c r="B29" s="1"/>
      <c r="C29" s="1"/>
      <c r="D29" s="1"/>
      <c r="E29" s="1"/>
      <c r="F29" s="1"/>
      <c r="BI29" s="26"/>
      <c r="BM29" s="26"/>
    </row>
    <row r="30" spans="1:65" s="23" customFormat="1" x14ac:dyDescent="0.25">
      <c r="A30" s="1"/>
      <c r="B30" s="1"/>
      <c r="C30" s="1"/>
      <c r="D30" s="1"/>
      <c r="E30" s="1"/>
      <c r="F30" s="1"/>
      <c r="BI30" s="26"/>
      <c r="BM30" s="26"/>
    </row>
    <row r="31" spans="1:65" s="23" customFormat="1" x14ac:dyDescent="0.25">
      <c r="A31" s="1"/>
      <c r="B31" s="1"/>
      <c r="C31" s="1"/>
      <c r="D31" s="1"/>
      <c r="E31" s="1"/>
      <c r="F31" s="1"/>
      <c r="BI31" s="26"/>
      <c r="BM31" s="26"/>
    </row>
    <row r="32" spans="1:65" s="23" customFormat="1" x14ac:dyDescent="0.25">
      <c r="A32" s="1"/>
      <c r="B32" s="1"/>
      <c r="C32" s="1"/>
      <c r="D32" s="1"/>
      <c r="E32" s="1"/>
      <c r="F32" s="1"/>
      <c r="BI32" s="26"/>
      <c r="BM32" s="26"/>
    </row>
    <row r="33" spans="1:65" s="23" customFormat="1" x14ac:dyDescent="0.25">
      <c r="A33" s="1"/>
      <c r="B33" s="1"/>
      <c r="C33" s="1"/>
      <c r="D33" s="1"/>
      <c r="E33" s="1"/>
      <c r="F33" s="1"/>
      <c r="BI33" s="26"/>
      <c r="BM33" s="26"/>
    </row>
    <row r="34" spans="1:65" s="23" customFormat="1" x14ac:dyDescent="0.25">
      <c r="A34" s="1"/>
      <c r="B34" s="1"/>
      <c r="C34" s="1"/>
      <c r="D34" s="1"/>
      <c r="E34" s="1"/>
      <c r="F34" s="1"/>
      <c r="BI34" s="26"/>
      <c r="BM34" s="26"/>
    </row>
    <row r="35" spans="1:65" s="23" customFormat="1" x14ac:dyDescent="0.25">
      <c r="A35" s="1"/>
      <c r="B35" s="1"/>
      <c r="C35" s="1"/>
      <c r="D35" s="1"/>
      <c r="E35" s="1"/>
      <c r="F35" s="1"/>
      <c r="BI35" s="26"/>
      <c r="BM35" s="26"/>
    </row>
    <row r="36" spans="1:65" s="23" customFormat="1" x14ac:dyDescent="0.25">
      <c r="A36" s="1"/>
      <c r="B36" s="1"/>
      <c r="C36" s="1"/>
      <c r="D36" s="1"/>
      <c r="E36" s="1"/>
      <c r="F36" s="1"/>
      <c r="BI36" s="26"/>
      <c r="BM36" s="26"/>
    </row>
    <row r="37" spans="1:65" s="23" customFormat="1" x14ac:dyDescent="0.25">
      <c r="A37" s="1"/>
      <c r="B37" s="1"/>
      <c r="C37" s="1"/>
      <c r="D37" s="1"/>
      <c r="E37" s="1"/>
      <c r="F37" s="1"/>
      <c r="BI37" s="26"/>
      <c r="BM37" s="26"/>
    </row>
    <row r="38" spans="1:65" s="23" customFormat="1" x14ac:dyDescent="0.25">
      <c r="A38" s="1"/>
      <c r="B38" s="1"/>
      <c r="C38" s="1"/>
      <c r="D38" s="1"/>
      <c r="E38" s="1"/>
      <c r="F38" s="1"/>
      <c r="BI38" s="26"/>
      <c r="BM38" s="26"/>
    </row>
  </sheetData>
  <sheetProtection algorithmName="SHA-512" hashValue="k/wfhIZMwW3XO4RFkzeiFCxyuQNfKy8NWZJHf0BsLjdUj5JbwqrxLi2DbtiTqVPbScbnzS9JgDNNslyYYecy5A==" saltValue="QhBvV5ez221jnoHqdny46w==" spinCount="100000" sheet="1" objects="1" scenarios="1"/>
  <mergeCells count="15">
    <mergeCell ref="H2:J2"/>
    <mergeCell ref="BJ2:BL2"/>
    <mergeCell ref="BN2:BP2"/>
    <mergeCell ref="AZ2:BB2"/>
    <mergeCell ref="BD2:BF2"/>
    <mergeCell ref="AF2:AH2"/>
    <mergeCell ref="AJ2:AL2"/>
    <mergeCell ref="AN2:AP2"/>
    <mergeCell ref="AR2:AT2"/>
    <mergeCell ref="AV2:AX2"/>
    <mergeCell ref="AB2:AD2"/>
    <mergeCell ref="X2:Z2"/>
    <mergeCell ref="T2:V2"/>
    <mergeCell ref="P2:R2"/>
    <mergeCell ref="L2:N2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DC9758-9D76-4560-AA1C-6FA6B26F5C6B}">
  <sheetPr codeName="Sheet6"/>
  <dimension ref="B1:BL4"/>
  <sheetViews>
    <sheetView tabSelected="1" workbookViewId="0">
      <selection activeCell="X4" sqref="X4"/>
    </sheetView>
  </sheetViews>
  <sheetFormatPr defaultRowHeight="15" x14ac:dyDescent="0.25"/>
  <cols>
    <col min="6" max="6" width="2" customWidth="1"/>
    <col min="10" max="10" width="1.85546875" customWidth="1"/>
    <col min="14" max="14" width="1.5703125" customWidth="1"/>
    <col min="18" max="18" width="1.5703125" customWidth="1"/>
    <col min="22" max="22" width="2" customWidth="1"/>
    <col min="26" max="26" width="1.7109375" customWidth="1"/>
    <col min="30" max="30" width="1.7109375" customWidth="1"/>
    <col min="34" max="34" width="1.7109375" customWidth="1"/>
    <col min="35" max="35" width="12.140625" customWidth="1"/>
    <col min="39" max="39" width="1.85546875" customWidth="1"/>
    <col min="43" max="43" width="2.140625" customWidth="1"/>
    <col min="47" max="47" width="2.140625" customWidth="1"/>
    <col min="51" max="51" width="2.140625" customWidth="1"/>
    <col min="55" max="55" width="2" customWidth="1"/>
    <col min="57" max="57" width="2" customWidth="1"/>
    <col min="61" max="61" width="2" customWidth="1"/>
  </cols>
  <sheetData>
    <row r="1" spans="2:64" ht="25.9" customHeight="1" x14ac:dyDescent="0.25">
      <c r="C1" s="83" t="s">
        <v>16</v>
      </c>
      <c r="D1" s="83"/>
      <c r="E1" s="83"/>
      <c r="G1" s="83" t="s">
        <v>17</v>
      </c>
      <c r="H1" s="83"/>
      <c r="I1" s="83"/>
      <c r="K1" s="83" t="s">
        <v>18</v>
      </c>
      <c r="L1" s="83"/>
      <c r="M1" s="83"/>
      <c r="O1" s="83" t="s">
        <v>19</v>
      </c>
      <c r="P1" s="83"/>
      <c r="Q1" s="83"/>
      <c r="S1" s="83" t="s">
        <v>47</v>
      </c>
      <c r="T1" s="83"/>
      <c r="U1" s="83"/>
      <c r="V1" s="11"/>
      <c r="W1" s="87" t="s">
        <v>23</v>
      </c>
      <c r="X1" s="87"/>
      <c r="Y1" s="87"/>
      <c r="Z1" s="11"/>
      <c r="AA1" s="86"/>
      <c r="AB1" s="86"/>
      <c r="AC1" s="86"/>
      <c r="AD1" s="11"/>
      <c r="AE1" s="86"/>
      <c r="AF1" s="86"/>
      <c r="AG1" s="86"/>
      <c r="AH1" s="11"/>
      <c r="AI1" s="14" t="s">
        <v>48</v>
      </c>
      <c r="AJ1" s="83" t="s">
        <v>24</v>
      </c>
      <c r="AK1" s="83"/>
      <c r="AL1" s="83"/>
      <c r="AM1" s="8"/>
      <c r="AN1" s="83" t="s">
        <v>25</v>
      </c>
      <c r="AO1" s="83"/>
      <c r="AP1" s="83"/>
      <c r="AQ1" s="8"/>
      <c r="AR1" s="86"/>
      <c r="AS1" s="86"/>
      <c r="AT1" s="86"/>
      <c r="AU1" s="8"/>
      <c r="AV1" s="86"/>
      <c r="AW1" s="86"/>
      <c r="AX1" s="86"/>
      <c r="AY1" s="8"/>
      <c r="AZ1" s="86"/>
      <c r="BA1" s="86"/>
      <c r="BB1" s="86"/>
      <c r="BD1" s="15" t="s">
        <v>26</v>
      </c>
      <c r="BF1" s="84" t="s">
        <v>27</v>
      </c>
      <c r="BG1" s="84"/>
      <c r="BH1" s="84"/>
      <c r="BJ1" s="84" t="s">
        <v>28</v>
      </c>
      <c r="BK1" s="84"/>
      <c r="BL1" s="84"/>
    </row>
    <row r="2" spans="2:64" s="8" customFormat="1" ht="17.45" customHeight="1" thickBot="1" x14ac:dyDescent="0.25">
      <c r="B2" s="8" t="s">
        <v>29</v>
      </c>
      <c r="C2" s="8" t="s">
        <v>30</v>
      </c>
      <c r="D2" s="8" t="s">
        <v>31</v>
      </c>
      <c r="E2" s="8" t="s">
        <v>32</v>
      </c>
      <c r="G2" s="8" t="s">
        <v>30</v>
      </c>
      <c r="H2" s="8" t="s">
        <v>31</v>
      </c>
      <c r="I2" s="8" t="s">
        <v>32</v>
      </c>
      <c r="K2" s="8" t="s">
        <v>30</v>
      </c>
      <c r="L2" s="8" t="s">
        <v>31</v>
      </c>
      <c r="M2" s="8" t="s">
        <v>32</v>
      </c>
      <c r="O2" s="8" t="s">
        <v>30</v>
      </c>
      <c r="P2" s="8" t="s">
        <v>31</v>
      </c>
      <c r="Q2" s="8" t="s">
        <v>32</v>
      </c>
      <c r="S2" s="8" t="s">
        <v>30</v>
      </c>
      <c r="T2" s="8" t="s">
        <v>31</v>
      </c>
      <c r="U2" s="8" t="s">
        <v>32</v>
      </c>
      <c r="W2" s="8" t="s">
        <v>30</v>
      </c>
      <c r="X2" s="8" t="s">
        <v>31</v>
      </c>
      <c r="Y2" s="8" t="s">
        <v>32</v>
      </c>
      <c r="AA2" s="8" t="s">
        <v>30</v>
      </c>
      <c r="AB2" s="8" t="s">
        <v>31</v>
      </c>
      <c r="AC2" s="8" t="s">
        <v>32</v>
      </c>
      <c r="AE2" s="8" t="s">
        <v>30</v>
      </c>
      <c r="AF2" s="8" t="s">
        <v>31</v>
      </c>
      <c r="AG2" s="8" t="s">
        <v>32</v>
      </c>
      <c r="AJ2" s="8" t="s">
        <v>30</v>
      </c>
      <c r="AK2" s="8" t="s">
        <v>31</v>
      </c>
      <c r="AL2" s="8" t="s">
        <v>32</v>
      </c>
      <c r="AN2" s="8" t="s">
        <v>30</v>
      </c>
      <c r="AO2" s="8" t="s">
        <v>31</v>
      </c>
      <c r="AP2" s="8" t="s">
        <v>32</v>
      </c>
      <c r="AR2" s="8" t="s">
        <v>30</v>
      </c>
      <c r="AS2" s="8" t="s">
        <v>31</v>
      </c>
      <c r="AT2" s="8" t="s">
        <v>32</v>
      </c>
      <c r="AV2" s="8" t="s">
        <v>30</v>
      </c>
      <c r="AW2" s="8" t="s">
        <v>31</v>
      </c>
      <c r="AX2" s="8" t="s">
        <v>32</v>
      </c>
      <c r="AZ2" s="8" t="s">
        <v>30</v>
      </c>
      <c r="BA2" s="8" t="s">
        <v>31</v>
      </c>
      <c r="BB2" s="8" t="s">
        <v>32</v>
      </c>
      <c r="BF2" s="8" t="s">
        <v>30</v>
      </c>
      <c r="BG2" s="8" t="s">
        <v>31</v>
      </c>
      <c r="BH2" s="8" t="s">
        <v>32</v>
      </c>
      <c r="BJ2" s="8" t="s">
        <v>30</v>
      </c>
      <c r="BK2" s="8" t="s">
        <v>31</v>
      </c>
      <c r="BL2" s="8" t="s">
        <v>32</v>
      </c>
    </row>
    <row r="3" spans="2:64" ht="45.6" customHeight="1" thickBot="1" x14ac:dyDescent="0.3">
      <c r="B3" s="21" t="s">
        <v>10</v>
      </c>
      <c r="C3" s="10"/>
      <c r="W3" s="18" t="s">
        <v>49</v>
      </c>
      <c r="X3" s="20" t="s">
        <v>50</v>
      </c>
      <c r="Y3" s="19" t="s">
        <v>51</v>
      </c>
      <c r="AJ3" s="3"/>
      <c r="AK3" s="3"/>
      <c r="AL3" s="3"/>
    </row>
    <row r="4" spans="2:64" ht="42" customHeight="1" x14ac:dyDescent="0.25">
      <c r="B4" s="22" t="s">
        <v>52</v>
      </c>
    </row>
  </sheetData>
  <mergeCells count="15">
    <mergeCell ref="AV1:AX1"/>
    <mergeCell ref="AZ1:BB1"/>
    <mergeCell ref="BF1:BH1"/>
    <mergeCell ref="BJ1:BL1"/>
    <mergeCell ref="C1:E1"/>
    <mergeCell ref="G1:I1"/>
    <mergeCell ref="AJ1:AL1"/>
    <mergeCell ref="AN1:AP1"/>
    <mergeCell ref="AR1:AT1"/>
    <mergeCell ref="AA1:AC1"/>
    <mergeCell ref="AE1:AG1"/>
    <mergeCell ref="K1:M1"/>
    <mergeCell ref="W1:Y1"/>
    <mergeCell ref="S1:U1"/>
    <mergeCell ref="O1:Q1"/>
  </mergeCell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B7DCD5-3934-405C-BB03-A8E093B96616}">
  <sheetPr codeName="Sheet4"/>
  <dimension ref="A1:F34"/>
  <sheetViews>
    <sheetView workbookViewId="0">
      <selection activeCell="B5" sqref="B5"/>
    </sheetView>
  </sheetViews>
  <sheetFormatPr defaultRowHeight="15" x14ac:dyDescent="0.25"/>
  <cols>
    <col min="1" max="1" width="9.7109375" style="58" bestFit="1" customWidth="1"/>
    <col min="2" max="2" width="10.42578125" customWidth="1"/>
    <col min="3" max="3" width="9.28515625" style="41" customWidth="1"/>
    <col min="5" max="5" width="11.140625" customWidth="1"/>
    <col min="6" max="6" width="15.85546875" bestFit="1" customWidth="1"/>
  </cols>
  <sheetData>
    <row r="1" spans="1:6" x14ac:dyDescent="0.25">
      <c r="A1" s="57" t="s">
        <v>53</v>
      </c>
      <c r="B1" s="54" t="s">
        <v>77</v>
      </c>
      <c r="C1" s="59" t="s">
        <v>78</v>
      </c>
      <c r="D1" s="54" t="s">
        <v>55</v>
      </c>
      <c r="E1" s="54" t="s">
        <v>79</v>
      </c>
      <c r="F1" s="54" t="s">
        <v>56</v>
      </c>
    </row>
    <row r="2" spans="1:6" x14ac:dyDescent="0.25">
      <c r="A2" s="55">
        <v>46099</v>
      </c>
      <c r="B2" s="1">
        <v>260003</v>
      </c>
      <c r="C2" s="60">
        <v>2010</v>
      </c>
      <c r="D2" s="56">
        <v>100.5</v>
      </c>
      <c r="E2" s="1"/>
      <c r="F2" s="1" t="s">
        <v>80</v>
      </c>
    </row>
    <row r="3" spans="1:6" x14ac:dyDescent="0.25">
      <c r="A3" s="55">
        <v>46099</v>
      </c>
      <c r="B3" s="1">
        <v>260004</v>
      </c>
      <c r="C3" s="60">
        <v>2010</v>
      </c>
      <c r="D3" s="56">
        <v>100.5</v>
      </c>
      <c r="E3" s="1" t="s">
        <v>80</v>
      </c>
      <c r="F3" s="1"/>
    </row>
    <row r="4" spans="1:6" x14ac:dyDescent="0.25">
      <c r="A4" s="55">
        <v>46100</v>
      </c>
      <c r="B4" s="1">
        <v>260012</v>
      </c>
      <c r="C4" s="60">
        <v>0</v>
      </c>
      <c r="D4" s="56"/>
      <c r="E4" s="1" t="s">
        <v>80</v>
      </c>
      <c r="F4" s="1"/>
    </row>
    <row r="5" spans="1:6" x14ac:dyDescent="0.25">
      <c r="A5" s="55">
        <v>46100</v>
      </c>
      <c r="B5" s="1">
        <v>260013</v>
      </c>
      <c r="C5" s="60">
        <v>252</v>
      </c>
      <c r="D5" s="56"/>
      <c r="E5" s="1"/>
      <c r="F5" s="1" t="s">
        <v>80</v>
      </c>
    </row>
    <row r="6" spans="1:6" x14ac:dyDescent="0.25">
      <c r="A6" s="55"/>
      <c r="B6" s="1"/>
      <c r="C6" s="60"/>
      <c r="D6" s="56"/>
      <c r="E6" s="1"/>
      <c r="F6" s="1"/>
    </row>
    <row r="7" spans="1:6" x14ac:dyDescent="0.25">
      <c r="A7" s="55"/>
      <c r="B7" s="1"/>
      <c r="C7" s="60"/>
      <c r="D7" s="56"/>
      <c r="E7" s="1"/>
      <c r="F7" s="1"/>
    </row>
    <row r="8" spans="1:6" x14ac:dyDescent="0.25">
      <c r="A8" s="55"/>
      <c r="B8" s="1"/>
      <c r="C8" s="60"/>
      <c r="D8" s="56"/>
      <c r="E8" s="1"/>
      <c r="F8" s="1"/>
    </row>
    <row r="9" spans="1:6" x14ac:dyDescent="0.25">
      <c r="A9" s="55"/>
      <c r="B9" s="1"/>
      <c r="C9" s="60"/>
      <c r="D9" s="1"/>
      <c r="E9" s="1"/>
      <c r="F9" s="1"/>
    </row>
    <row r="10" spans="1:6" x14ac:dyDescent="0.25">
      <c r="A10" s="55"/>
      <c r="B10" s="1"/>
      <c r="C10" s="60"/>
      <c r="D10" s="1"/>
      <c r="E10" s="1"/>
      <c r="F10" s="1"/>
    </row>
    <row r="11" spans="1:6" x14ac:dyDescent="0.25">
      <c r="A11" s="55"/>
      <c r="B11" s="1"/>
      <c r="C11" s="60"/>
      <c r="D11" s="1"/>
      <c r="E11" s="1"/>
      <c r="F11" s="1"/>
    </row>
    <row r="12" spans="1:6" x14ac:dyDescent="0.25">
      <c r="A12" s="55"/>
      <c r="B12" s="1"/>
      <c r="C12" s="60"/>
      <c r="D12" s="1"/>
      <c r="E12" s="1"/>
      <c r="F12" s="1"/>
    </row>
    <row r="13" spans="1:6" x14ac:dyDescent="0.25">
      <c r="A13" s="55"/>
      <c r="B13" s="1"/>
      <c r="C13" s="60"/>
      <c r="D13" s="1"/>
      <c r="E13" s="1"/>
      <c r="F13" s="1"/>
    </row>
    <row r="14" spans="1:6" x14ac:dyDescent="0.25">
      <c r="A14" s="55"/>
      <c r="B14" s="1"/>
      <c r="C14" s="60"/>
      <c r="D14" s="1"/>
      <c r="E14" s="1"/>
      <c r="F14" s="1"/>
    </row>
    <row r="15" spans="1:6" x14ac:dyDescent="0.25">
      <c r="A15" s="55"/>
      <c r="B15" s="1"/>
      <c r="C15" s="60"/>
      <c r="D15" s="1"/>
      <c r="E15" s="1"/>
      <c r="F15" s="1"/>
    </row>
    <row r="16" spans="1:6" x14ac:dyDescent="0.25">
      <c r="A16" s="55"/>
      <c r="B16" s="1"/>
      <c r="C16" s="60"/>
      <c r="D16" s="1"/>
      <c r="E16" s="1"/>
      <c r="F16" s="1"/>
    </row>
    <row r="17" spans="1:6" x14ac:dyDescent="0.25">
      <c r="A17" s="55"/>
      <c r="B17" s="1"/>
      <c r="C17" s="60"/>
      <c r="D17" s="1"/>
      <c r="E17" s="1"/>
      <c r="F17" s="1"/>
    </row>
    <row r="18" spans="1:6" x14ac:dyDescent="0.25">
      <c r="A18" s="55"/>
      <c r="B18" s="1"/>
      <c r="C18" s="60"/>
      <c r="D18" s="1"/>
      <c r="E18" s="1"/>
      <c r="F18" s="1"/>
    </row>
    <row r="19" spans="1:6" x14ac:dyDescent="0.25">
      <c r="A19" s="55"/>
      <c r="B19" s="1"/>
      <c r="C19" s="60"/>
      <c r="D19" s="1"/>
      <c r="E19" s="1"/>
      <c r="F19" s="1"/>
    </row>
    <row r="20" spans="1:6" x14ac:dyDescent="0.25">
      <c r="A20" s="55"/>
      <c r="B20" s="1"/>
      <c r="C20" s="60"/>
      <c r="D20" s="1"/>
      <c r="E20" s="1"/>
      <c r="F20" s="1"/>
    </row>
    <row r="21" spans="1:6" x14ac:dyDescent="0.25">
      <c r="A21" s="55"/>
      <c r="B21" s="1"/>
      <c r="C21" s="60"/>
      <c r="D21" s="1"/>
      <c r="E21" s="1"/>
      <c r="F21" s="1"/>
    </row>
    <row r="22" spans="1:6" x14ac:dyDescent="0.25">
      <c r="A22" s="55"/>
      <c r="B22" s="1"/>
      <c r="C22" s="60"/>
      <c r="D22" s="1"/>
      <c r="E22" s="1"/>
      <c r="F22" s="1"/>
    </row>
    <row r="23" spans="1:6" x14ac:dyDescent="0.25">
      <c r="A23" s="55"/>
      <c r="B23" s="1"/>
      <c r="C23" s="60"/>
      <c r="D23" s="1"/>
      <c r="E23" s="1"/>
      <c r="F23" s="1"/>
    </row>
    <row r="24" spans="1:6" x14ac:dyDescent="0.25">
      <c r="A24" s="55"/>
      <c r="B24" s="1"/>
      <c r="C24" s="60"/>
      <c r="D24" s="1"/>
      <c r="E24" s="1"/>
      <c r="F24" s="1"/>
    </row>
    <row r="25" spans="1:6" x14ac:dyDescent="0.25">
      <c r="A25" s="55"/>
      <c r="B25" s="1"/>
      <c r="C25" s="60"/>
      <c r="D25" s="1"/>
      <c r="E25" s="1"/>
      <c r="F25" s="1"/>
    </row>
    <row r="26" spans="1:6" x14ac:dyDescent="0.25">
      <c r="A26" s="55"/>
      <c r="B26" s="1"/>
      <c r="C26" s="60"/>
      <c r="D26" s="1"/>
      <c r="E26" s="1"/>
      <c r="F26" s="1"/>
    </row>
    <row r="27" spans="1:6" x14ac:dyDescent="0.25">
      <c r="A27" s="55"/>
      <c r="B27" s="1"/>
      <c r="C27" s="60"/>
      <c r="D27" s="1"/>
      <c r="E27" s="1"/>
      <c r="F27" s="1"/>
    </row>
    <row r="28" spans="1:6" x14ac:dyDescent="0.25">
      <c r="A28" s="55"/>
      <c r="B28" s="1"/>
      <c r="C28" s="60"/>
      <c r="D28" s="1"/>
      <c r="E28" s="1"/>
      <c r="F28" s="1"/>
    </row>
    <row r="29" spans="1:6" x14ac:dyDescent="0.25">
      <c r="A29" s="55"/>
      <c r="B29" s="1"/>
      <c r="C29" s="60"/>
      <c r="D29" s="1"/>
      <c r="E29" s="1"/>
      <c r="F29" s="1"/>
    </row>
    <row r="30" spans="1:6" x14ac:dyDescent="0.25">
      <c r="A30" s="55"/>
      <c r="B30" s="1"/>
      <c r="C30" s="60"/>
      <c r="D30" s="1"/>
      <c r="E30" s="1"/>
      <c r="F30" s="1"/>
    </row>
    <row r="31" spans="1:6" x14ac:dyDescent="0.25">
      <c r="A31" s="55"/>
      <c r="B31" s="1"/>
      <c r="C31" s="60"/>
      <c r="D31" s="1"/>
      <c r="E31" s="1"/>
      <c r="F31" s="1"/>
    </row>
    <row r="32" spans="1:6" x14ac:dyDescent="0.25">
      <c r="A32" s="55"/>
      <c r="B32" s="1"/>
      <c r="C32" s="60"/>
      <c r="D32" s="1"/>
      <c r="E32" s="1"/>
      <c r="F32" s="1"/>
    </row>
    <row r="33" spans="1:6" x14ac:dyDescent="0.25">
      <c r="A33" s="55"/>
      <c r="B33" s="1"/>
      <c r="C33" s="60"/>
      <c r="D33" s="1"/>
      <c r="E33" s="1"/>
      <c r="F33" s="1"/>
    </row>
    <row r="34" spans="1:6" x14ac:dyDescent="0.25">
      <c r="A34" s="55"/>
      <c r="B34" s="1"/>
      <c r="C34" s="60"/>
      <c r="D34" s="1"/>
      <c r="E34" s="1"/>
      <c r="F34" s="1"/>
    </row>
  </sheetData>
  <sheetProtection algorithmName="SHA-512" hashValue="zP8pUk4cx1qukLoo1EAS5oV4484nBcY/p/Wqp1ULTY1Rt8+WKDzfbpHsPiWhRv140vMxiDmDVUQqRzchdOlSAQ==" saltValue="MWhGa1wBrqrZIvoYgZFvQg==" spinCount="100000" sheet="1" objects="1" scenarios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5C9F88-D7A0-42B9-9B0C-A52AEA63CD47}">
  <sheetPr codeName="Sheet2"/>
  <dimension ref="A1:BE105"/>
  <sheetViews>
    <sheetView workbookViewId="0">
      <selection activeCell="O32" sqref="O32"/>
    </sheetView>
  </sheetViews>
  <sheetFormatPr defaultRowHeight="15" x14ac:dyDescent="0.25"/>
  <cols>
    <col min="8" max="8" width="9.7109375" bestFit="1" customWidth="1"/>
  </cols>
  <sheetData>
    <row r="1" spans="1:57" x14ac:dyDescent="0.25">
      <c r="A1" s="49" t="s">
        <v>57</v>
      </c>
      <c r="B1">
        <v>260010</v>
      </c>
      <c r="G1" s="1" t="s">
        <v>53</v>
      </c>
      <c r="H1" s="92">
        <f ca="1">TODAY()</f>
        <v>46159</v>
      </c>
      <c r="I1" s="92"/>
      <c r="K1" s="44"/>
      <c r="L1" s="44"/>
      <c r="M1" s="44"/>
      <c r="N1" s="44"/>
      <c r="O1" s="44"/>
      <c r="P1" s="44"/>
      <c r="Q1" s="44"/>
      <c r="R1" s="44"/>
      <c r="S1" s="44"/>
      <c r="T1" s="44"/>
      <c r="U1" s="44"/>
      <c r="V1" s="44"/>
      <c r="W1" s="44"/>
      <c r="X1" s="44"/>
      <c r="Y1" s="44"/>
      <c r="Z1" s="43">
        <v>0.06</v>
      </c>
      <c r="AA1" s="44"/>
      <c r="AB1" s="44"/>
      <c r="AC1" s="44"/>
      <c r="AD1" s="44"/>
      <c r="AE1" s="44"/>
      <c r="AF1" s="44"/>
      <c r="AG1" s="44"/>
      <c r="AH1" s="44"/>
      <c r="AI1" s="44"/>
      <c r="AJ1" s="44"/>
      <c r="AK1" s="44"/>
      <c r="AL1" s="44"/>
      <c r="AM1" s="44"/>
      <c r="AN1" s="44"/>
      <c r="AO1" s="44"/>
      <c r="AP1" s="44"/>
      <c r="AQ1" s="44"/>
      <c r="AR1" s="44"/>
      <c r="AS1" s="44"/>
      <c r="AT1" s="44"/>
      <c r="AU1" s="44"/>
      <c r="AV1" s="44"/>
      <c r="AW1" s="44"/>
      <c r="AX1" s="44"/>
      <c r="AY1" s="44"/>
      <c r="AZ1" s="44"/>
      <c r="BA1" s="44"/>
      <c r="BB1" s="44"/>
      <c r="BC1" s="44"/>
      <c r="BD1" s="44"/>
      <c r="BE1" s="44"/>
    </row>
    <row r="2" spans="1:57" x14ac:dyDescent="0.25">
      <c r="K2" s="44"/>
      <c r="L2" s="44"/>
      <c r="M2" s="44"/>
      <c r="N2" s="44"/>
      <c r="O2" s="44"/>
      <c r="P2" s="44"/>
      <c r="Q2" s="44"/>
      <c r="R2" s="44"/>
      <c r="S2" s="44"/>
      <c r="T2" s="44"/>
      <c r="U2" s="44"/>
      <c r="V2" s="44"/>
      <c r="W2" s="44"/>
      <c r="X2" s="44"/>
      <c r="Y2" s="44"/>
      <c r="Z2" s="44"/>
      <c r="AA2" s="44"/>
      <c r="AB2" s="44"/>
      <c r="AC2" s="44"/>
      <c r="AD2" s="44"/>
      <c r="AE2" s="44"/>
      <c r="AF2" s="44"/>
      <c r="AG2" s="44"/>
      <c r="AH2" s="44"/>
      <c r="AI2" s="44"/>
      <c r="AJ2" s="44"/>
      <c r="AK2" s="44"/>
      <c r="AL2" s="44"/>
      <c r="AM2" s="44"/>
      <c r="AN2" s="44"/>
      <c r="AO2" s="44"/>
      <c r="AP2" s="44"/>
      <c r="AQ2" s="44"/>
      <c r="AR2" s="44"/>
      <c r="AS2" s="44"/>
      <c r="AT2" s="44"/>
      <c r="AU2" s="44"/>
      <c r="AV2" s="44"/>
      <c r="AW2" s="44"/>
      <c r="AX2" s="44"/>
      <c r="AY2" s="44"/>
      <c r="AZ2" s="44"/>
      <c r="BA2" s="44"/>
      <c r="BB2" s="44"/>
      <c r="BC2" s="44"/>
      <c r="BD2" s="44"/>
      <c r="BE2" s="44"/>
    </row>
    <row r="3" spans="1:57" x14ac:dyDescent="0.25">
      <c r="A3" s="49" t="s">
        <v>58</v>
      </c>
      <c r="G3" s="49" t="s">
        <v>59</v>
      </c>
      <c r="H3" s="88" t="s">
        <v>60</v>
      </c>
      <c r="I3" s="88"/>
      <c r="J3" s="88"/>
      <c r="K3" s="44"/>
      <c r="L3" s="44"/>
      <c r="M3" s="44"/>
      <c r="N3" s="44"/>
      <c r="O3" s="44"/>
      <c r="P3" s="44"/>
      <c r="Q3" s="44"/>
      <c r="R3" s="44"/>
      <c r="S3" s="44"/>
      <c r="T3" s="44"/>
      <c r="U3" s="44"/>
      <c r="V3" s="44"/>
      <c r="W3" s="44"/>
      <c r="X3" s="44"/>
      <c r="Y3" s="44"/>
      <c r="Z3" s="44"/>
      <c r="AA3" s="44"/>
      <c r="AB3" s="44"/>
      <c r="AC3" s="44"/>
      <c r="AD3" s="44"/>
      <c r="AE3" s="44"/>
      <c r="AF3" s="44"/>
      <c r="AG3" s="44"/>
      <c r="AH3" s="44"/>
      <c r="AI3" s="44"/>
      <c r="AJ3" s="44"/>
      <c r="AK3" s="44"/>
      <c r="AL3" s="44"/>
      <c r="AM3" s="44"/>
      <c r="AN3" s="44"/>
      <c r="AO3" s="44"/>
      <c r="AP3" s="44"/>
      <c r="AQ3" s="44"/>
      <c r="AR3" s="44"/>
      <c r="AS3" s="44"/>
      <c r="AT3" s="44"/>
      <c r="AU3" s="44"/>
      <c r="AV3" s="44"/>
      <c r="AW3" s="44"/>
      <c r="AX3" s="44"/>
      <c r="AY3" s="44"/>
      <c r="AZ3" s="44"/>
      <c r="BA3" s="44"/>
      <c r="BB3" s="44"/>
      <c r="BC3" s="44"/>
      <c r="BD3" s="44"/>
      <c r="BE3" s="44"/>
    </row>
    <row r="4" spans="1:57" x14ac:dyDescent="0.25">
      <c r="A4" s="91" t="s">
        <v>0</v>
      </c>
      <c r="B4" s="91"/>
      <c r="C4" s="88" t="str">
        <f>FrontPage!C5</f>
        <v>Bar N Ranch</v>
      </c>
      <c r="D4" s="88"/>
      <c r="E4" s="88"/>
      <c r="H4" s="88" t="s">
        <v>61</v>
      </c>
      <c r="I4" s="88"/>
      <c r="J4" s="88"/>
      <c r="K4" s="44"/>
      <c r="L4" s="44"/>
      <c r="M4" s="44"/>
      <c r="N4" s="44"/>
      <c r="O4" s="44"/>
      <c r="P4" s="44"/>
      <c r="Q4" s="44"/>
      <c r="R4" s="44"/>
      <c r="S4" s="44"/>
      <c r="T4" s="44"/>
      <c r="U4" s="44"/>
      <c r="V4" s="44"/>
      <c r="W4" s="44"/>
      <c r="X4" s="44"/>
      <c r="Y4" s="44"/>
      <c r="Z4" s="44"/>
      <c r="AA4" s="44"/>
      <c r="AB4" s="44"/>
      <c r="AC4" s="44"/>
      <c r="AD4" s="44"/>
      <c r="AE4" s="44"/>
      <c r="AF4" s="44"/>
      <c r="AG4" s="44"/>
      <c r="AH4" s="44"/>
      <c r="AI4" s="44"/>
      <c r="AJ4" s="44"/>
      <c r="AK4" s="44"/>
      <c r="AL4" s="44"/>
      <c r="AM4" s="44"/>
      <c r="AN4" s="44"/>
      <c r="AO4" s="44"/>
      <c r="AP4" s="44"/>
      <c r="AQ4" s="44"/>
      <c r="AR4" s="44"/>
      <c r="AS4" s="44"/>
      <c r="AT4" s="44"/>
      <c r="AU4" s="44"/>
      <c r="AV4" s="44"/>
      <c r="AW4" s="44"/>
      <c r="AX4" s="44"/>
      <c r="AY4" s="44"/>
      <c r="AZ4" s="44"/>
      <c r="BA4" s="44"/>
      <c r="BB4" s="44"/>
      <c r="BC4" s="44"/>
      <c r="BD4" s="44"/>
      <c r="BE4" s="44"/>
    </row>
    <row r="5" spans="1:57" x14ac:dyDescent="0.25">
      <c r="A5" s="91" t="s">
        <v>2</v>
      </c>
      <c r="B5" s="91"/>
      <c r="C5" s="88" t="str">
        <f>FrontPage!C6</f>
        <v>Barry Bar</v>
      </c>
      <c r="D5" s="88"/>
      <c r="E5" s="88"/>
      <c r="H5" s="88" t="s">
        <v>62</v>
      </c>
      <c r="I5" s="88"/>
      <c r="J5" s="88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4"/>
      <c r="AD5" s="44"/>
      <c r="AE5" s="44"/>
      <c r="AF5" s="44"/>
      <c r="AG5" s="44"/>
      <c r="AH5" s="44"/>
      <c r="AI5" s="44"/>
      <c r="AJ5" s="44"/>
      <c r="AK5" s="44"/>
      <c r="AL5" s="44"/>
      <c r="AM5" s="44"/>
      <c r="AN5" s="44"/>
      <c r="AO5" s="44"/>
      <c r="AP5" s="44"/>
      <c r="AQ5" s="44"/>
      <c r="AR5" s="44"/>
      <c r="AS5" s="44"/>
      <c r="AT5" s="44"/>
      <c r="AU5" s="44"/>
      <c r="AV5" s="44"/>
      <c r="AW5" s="44"/>
      <c r="AX5" s="44"/>
      <c r="AY5" s="44"/>
      <c r="AZ5" s="44"/>
      <c r="BA5" s="44"/>
      <c r="BB5" s="44"/>
      <c r="BC5" s="44"/>
      <c r="BD5" s="44"/>
      <c r="BE5" s="44"/>
    </row>
    <row r="6" spans="1:57" x14ac:dyDescent="0.25">
      <c r="A6" s="9"/>
      <c r="B6" s="9" t="s">
        <v>4</v>
      </c>
      <c r="C6" s="88" t="str">
        <f>FrontPage!C7</f>
        <v>Box 32</v>
      </c>
      <c r="D6" s="88"/>
      <c r="E6" s="88"/>
      <c r="H6" s="88" t="s">
        <v>63</v>
      </c>
      <c r="I6" s="88"/>
      <c r="J6" s="88"/>
      <c r="K6" s="44"/>
      <c r="L6" s="44"/>
      <c r="M6" s="44"/>
      <c r="N6" s="44"/>
      <c r="O6" s="44"/>
      <c r="P6" s="44"/>
      <c r="Q6" s="44"/>
      <c r="R6" s="44"/>
      <c r="S6" s="44"/>
      <c r="T6" s="44"/>
      <c r="U6" s="44"/>
      <c r="V6" s="44"/>
      <c r="W6" s="44"/>
      <c r="X6" s="44"/>
      <c r="Y6" s="44"/>
      <c r="Z6" s="44"/>
      <c r="AA6" s="44"/>
      <c r="AB6" s="44"/>
      <c r="AC6" s="44"/>
      <c r="AD6" s="44"/>
      <c r="AE6" s="44"/>
      <c r="AF6" s="44"/>
      <c r="AG6" s="44"/>
      <c r="AH6" s="44"/>
      <c r="AI6" s="44"/>
      <c r="AJ6" s="44"/>
      <c r="AK6" s="44"/>
      <c r="AL6" s="44"/>
      <c r="AM6" s="44"/>
      <c r="AN6" s="44"/>
      <c r="AO6" s="44"/>
      <c r="AP6" s="44"/>
      <c r="AQ6" s="44"/>
      <c r="AR6" s="44"/>
      <c r="AS6" s="44"/>
      <c r="AT6" s="44"/>
      <c r="AU6" s="44"/>
      <c r="AV6" s="44"/>
      <c r="AW6" s="44"/>
      <c r="AX6" s="44"/>
      <c r="AY6" s="44"/>
      <c r="AZ6" s="44"/>
      <c r="BA6" s="44"/>
      <c r="BB6" s="44"/>
      <c r="BC6" s="44"/>
      <c r="BD6" s="44"/>
      <c r="BE6" s="44"/>
    </row>
    <row r="7" spans="1:57" x14ac:dyDescent="0.25">
      <c r="A7" s="91" t="s">
        <v>5</v>
      </c>
      <c r="B7" s="91"/>
      <c r="C7" s="88" t="str">
        <f>FrontPage!C8</f>
        <v>Black Diamond</v>
      </c>
      <c r="D7" s="88"/>
      <c r="E7" s="88"/>
      <c r="H7" s="88" t="s">
        <v>64</v>
      </c>
      <c r="I7" s="88"/>
      <c r="J7" s="88"/>
      <c r="K7" s="44"/>
      <c r="L7" s="44"/>
      <c r="M7" s="44"/>
      <c r="N7" s="44"/>
      <c r="O7" s="44"/>
      <c r="P7" s="44"/>
      <c r="Q7" s="44"/>
      <c r="R7" s="44"/>
      <c r="S7" s="44"/>
      <c r="T7" s="44"/>
      <c r="U7" s="44"/>
      <c r="V7" s="44"/>
      <c r="W7" s="44"/>
      <c r="X7" s="44"/>
      <c r="Y7" s="44"/>
      <c r="Z7" s="44"/>
      <c r="AA7" s="44"/>
      <c r="AB7" s="44"/>
      <c r="AC7" s="44"/>
      <c r="AD7" s="44"/>
      <c r="AE7" s="44"/>
      <c r="AF7" s="44"/>
      <c r="AG7" s="44"/>
      <c r="AH7" s="44"/>
      <c r="AI7" s="44"/>
      <c r="AJ7" s="44"/>
      <c r="AK7" s="44"/>
      <c r="AL7" s="44"/>
      <c r="AM7" s="44"/>
      <c r="AN7" s="44"/>
      <c r="AO7" s="44"/>
      <c r="AP7" s="44"/>
      <c r="AQ7" s="44"/>
      <c r="AR7" s="44"/>
      <c r="AS7" s="44"/>
      <c r="AT7" s="44"/>
      <c r="AU7" s="44"/>
      <c r="AV7" s="44"/>
      <c r="AW7" s="44"/>
      <c r="AX7" s="44"/>
      <c r="AY7" s="44"/>
      <c r="AZ7" s="44"/>
      <c r="BA7" s="44"/>
      <c r="BB7" s="44"/>
      <c r="BC7" s="44"/>
      <c r="BD7" s="44"/>
      <c r="BE7" s="44"/>
    </row>
    <row r="8" spans="1:57" x14ac:dyDescent="0.25">
      <c r="A8" s="91" t="s">
        <v>6</v>
      </c>
      <c r="B8" s="91"/>
      <c r="C8" s="88" t="str">
        <f>FrontPage!C9</f>
        <v>AB</v>
      </c>
      <c r="D8" s="88"/>
      <c r="E8" s="88"/>
      <c r="H8" s="88" t="s">
        <v>65</v>
      </c>
      <c r="I8" s="88"/>
      <c r="J8" s="88"/>
      <c r="K8" s="44"/>
      <c r="L8" s="44"/>
      <c r="M8" s="44"/>
      <c r="N8" s="44"/>
      <c r="O8" s="44"/>
      <c r="P8" s="44"/>
      <c r="Q8" s="44"/>
      <c r="R8" s="44"/>
      <c r="S8" s="44"/>
      <c r="T8" s="44"/>
      <c r="U8" s="44"/>
      <c r="V8" s="44"/>
      <c r="W8" s="44"/>
      <c r="X8" s="44"/>
      <c r="Y8" s="44"/>
      <c r="Z8" s="44"/>
      <c r="AA8" s="44"/>
      <c r="AB8" s="44"/>
      <c r="AC8" s="44"/>
      <c r="AD8" s="44"/>
      <c r="AE8" s="44"/>
      <c r="AF8" s="44"/>
      <c r="AG8" s="44"/>
      <c r="AH8" s="44"/>
      <c r="AI8" s="44"/>
      <c r="AJ8" s="44"/>
      <c r="AK8" s="44"/>
      <c r="AL8" s="44"/>
      <c r="AM8" s="44"/>
      <c r="AN8" s="44"/>
      <c r="AO8" s="44"/>
      <c r="AP8" s="44"/>
      <c r="AQ8" s="44"/>
      <c r="AR8" s="44"/>
      <c r="AS8" s="44"/>
      <c r="AT8" s="44"/>
      <c r="AU8" s="44"/>
      <c r="AV8" s="44"/>
      <c r="AW8" s="44"/>
      <c r="AX8" s="44"/>
      <c r="AY8" s="44"/>
      <c r="AZ8" s="44"/>
      <c r="BA8" s="44"/>
      <c r="BB8" s="44"/>
      <c r="BC8" s="44"/>
      <c r="BD8" s="44"/>
      <c r="BE8" s="44"/>
    </row>
    <row r="9" spans="1:57" x14ac:dyDescent="0.25">
      <c r="A9" s="91" t="s">
        <v>7</v>
      </c>
      <c r="B9" s="91"/>
      <c r="C9" s="88" t="str">
        <f>FrontPage!C10</f>
        <v>T0B 1Z3</v>
      </c>
      <c r="D9" s="88"/>
      <c r="E9" s="88"/>
      <c r="K9" s="44"/>
      <c r="L9" s="44"/>
      <c r="M9" s="44"/>
      <c r="N9" s="44"/>
      <c r="O9" s="44"/>
      <c r="P9" s="44"/>
      <c r="Q9" s="44"/>
      <c r="R9" s="44"/>
      <c r="S9" s="44"/>
      <c r="T9" s="44"/>
      <c r="U9" s="44"/>
      <c r="V9" s="44"/>
      <c r="W9" s="44"/>
      <c r="X9" s="44"/>
      <c r="Y9" s="44"/>
      <c r="Z9" s="44"/>
      <c r="AA9" s="44"/>
      <c r="AB9" s="44"/>
      <c r="AC9" s="44"/>
      <c r="AD9" s="44"/>
      <c r="AE9" s="44"/>
      <c r="AF9" s="44"/>
      <c r="AG9" s="44"/>
      <c r="AH9" s="44"/>
      <c r="AI9" s="44"/>
      <c r="AJ9" s="44"/>
      <c r="AK9" s="44"/>
      <c r="AL9" s="44"/>
      <c r="AM9" s="44"/>
      <c r="AN9" s="44"/>
      <c r="AO9" s="44"/>
      <c r="AP9" s="44"/>
      <c r="AQ9" s="44"/>
      <c r="AR9" s="44"/>
      <c r="AS9" s="44"/>
      <c r="AT9" s="44"/>
      <c r="AU9" s="44"/>
      <c r="AV9" s="44"/>
      <c r="AW9" s="44"/>
      <c r="AX9" s="44"/>
      <c r="AY9" s="44"/>
      <c r="AZ9" s="44"/>
      <c r="BA9" s="44"/>
      <c r="BB9" s="44"/>
      <c r="BC9" s="44"/>
      <c r="BD9" s="44"/>
      <c r="BE9" s="44"/>
    </row>
    <row r="10" spans="1:57" x14ac:dyDescent="0.25">
      <c r="K10" s="44"/>
      <c r="L10" s="44"/>
      <c r="M10" s="44"/>
      <c r="N10" s="44"/>
      <c r="O10" s="44"/>
      <c r="P10" s="44"/>
      <c r="Q10" s="44"/>
      <c r="R10" s="44"/>
      <c r="S10" s="44"/>
      <c r="T10" s="44"/>
      <c r="U10" s="44"/>
      <c r="V10" s="44"/>
      <c r="W10" s="44"/>
      <c r="X10" s="44"/>
      <c r="Y10" s="44"/>
      <c r="Z10" s="44"/>
      <c r="AA10" s="44"/>
      <c r="AB10" s="44"/>
      <c r="AC10" s="44"/>
      <c r="AD10" s="44"/>
      <c r="AE10" s="44"/>
      <c r="AF10" s="44"/>
      <c r="AG10" s="44"/>
      <c r="AH10" s="44"/>
      <c r="AI10" s="44"/>
      <c r="AJ10" s="44"/>
      <c r="AK10" s="44"/>
      <c r="AL10" s="44"/>
      <c r="AM10" s="44"/>
      <c r="AN10" s="44"/>
      <c r="AO10" s="44"/>
      <c r="AP10" s="44"/>
      <c r="AQ10" s="44"/>
      <c r="AR10" s="44"/>
      <c r="AS10" s="44"/>
      <c r="AT10" s="44"/>
      <c r="AU10" s="44"/>
      <c r="AV10" s="44"/>
      <c r="AW10" s="44"/>
      <c r="AX10" s="44"/>
      <c r="AY10" s="44"/>
      <c r="AZ10" s="44"/>
      <c r="BA10" s="44"/>
      <c r="BB10" s="44"/>
      <c r="BC10" s="44"/>
      <c r="BD10" s="44"/>
      <c r="BE10" s="44"/>
    </row>
    <row r="11" spans="1:57" x14ac:dyDescent="0.25">
      <c r="A11" s="89" t="s">
        <v>9</v>
      </c>
      <c r="B11" s="89"/>
      <c r="C11" s="89"/>
      <c r="D11" s="89"/>
      <c r="E11" s="89"/>
      <c r="F11" s="89"/>
      <c r="G11" s="89"/>
      <c r="H11" s="89"/>
      <c r="I11" s="89"/>
      <c r="J11" s="89"/>
      <c r="K11" s="44"/>
      <c r="L11" s="44"/>
      <c r="M11" s="44"/>
      <c r="N11" s="44"/>
      <c r="O11" s="44"/>
      <c r="P11" s="44"/>
      <c r="Q11" s="44"/>
      <c r="R11" s="44"/>
      <c r="S11" s="44"/>
      <c r="T11" s="44"/>
      <c r="U11" s="44"/>
      <c r="V11" s="44"/>
      <c r="W11" s="44"/>
      <c r="X11" s="44"/>
      <c r="Y11" s="44"/>
      <c r="Z11" s="44"/>
      <c r="AA11" s="44"/>
      <c r="AB11" s="44"/>
      <c r="AC11" s="44"/>
      <c r="AD11" s="44"/>
      <c r="AE11" s="44"/>
      <c r="AF11" s="44"/>
      <c r="AG11" s="44"/>
      <c r="AH11" s="44"/>
      <c r="AI11" s="44"/>
      <c r="AJ11" s="44"/>
      <c r="AK11" s="44"/>
      <c r="AL11" s="44"/>
      <c r="AM11" s="44"/>
      <c r="AN11" s="44"/>
      <c r="AO11" s="44"/>
      <c r="AP11" s="44"/>
      <c r="AQ11" s="44"/>
      <c r="AR11" s="44"/>
      <c r="AS11" s="44"/>
      <c r="AT11" s="44"/>
      <c r="AU11" s="44"/>
      <c r="AV11" s="44"/>
      <c r="AW11" s="44"/>
      <c r="AX11" s="44"/>
      <c r="AY11" s="44"/>
      <c r="AZ11" s="44"/>
      <c r="BA11" s="44"/>
      <c r="BB11" s="44"/>
      <c r="BC11" s="44"/>
      <c r="BD11" s="44"/>
      <c r="BE11" s="44"/>
    </row>
    <row r="12" spans="1:57" x14ac:dyDescent="0.25">
      <c r="A12" s="38" t="s">
        <v>66</v>
      </c>
      <c r="B12" s="90" t="s">
        <v>67</v>
      </c>
      <c r="C12" s="90"/>
      <c r="D12" s="90"/>
      <c r="E12" s="90"/>
      <c r="F12" s="90"/>
      <c r="G12" s="90"/>
      <c r="H12" s="90"/>
      <c r="I12" s="39" t="s">
        <v>12</v>
      </c>
      <c r="J12" s="39" t="s">
        <v>68</v>
      </c>
      <c r="K12" s="44"/>
      <c r="L12" s="44"/>
      <c r="M12" s="44"/>
      <c r="N12" s="44"/>
      <c r="O12" s="44"/>
      <c r="P12" s="44"/>
      <c r="Q12" s="44"/>
      <c r="R12" s="44"/>
      <c r="S12" s="44"/>
      <c r="T12" s="44"/>
      <c r="U12" s="44"/>
      <c r="V12" s="44"/>
      <c r="W12" s="44"/>
      <c r="X12" s="44"/>
      <c r="Y12" s="44"/>
      <c r="Z12" s="44"/>
      <c r="AA12" s="44"/>
      <c r="AB12" s="44"/>
      <c r="AC12" s="44"/>
      <c r="AD12" s="44"/>
      <c r="AE12" s="44"/>
      <c r="AF12" s="44"/>
      <c r="AG12" s="44"/>
      <c r="AH12" s="44"/>
      <c r="AI12" s="44"/>
      <c r="AJ12" s="44"/>
      <c r="AK12" s="44"/>
      <c r="AL12" s="44"/>
      <c r="AM12" s="44"/>
      <c r="AN12" s="44"/>
      <c r="AO12" s="44"/>
      <c r="AP12" s="44"/>
      <c r="AQ12" s="44"/>
      <c r="AR12" s="44"/>
      <c r="AS12" s="44"/>
      <c r="AT12" s="44"/>
      <c r="AU12" s="44"/>
      <c r="AV12" s="44"/>
      <c r="AW12" s="44"/>
      <c r="AX12" s="44"/>
      <c r="AY12" s="44"/>
      <c r="AZ12" s="44"/>
      <c r="BA12" s="44"/>
      <c r="BB12" s="44"/>
      <c r="BC12" s="44"/>
      <c r="BD12" s="44"/>
      <c r="BE12" s="44"/>
    </row>
    <row r="13" spans="1:57" x14ac:dyDescent="0.25">
      <c r="B13" s="84"/>
      <c r="C13" s="84"/>
      <c r="D13" s="84"/>
      <c r="E13" s="84"/>
      <c r="F13" s="84"/>
      <c r="G13" s="84"/>
      <c r="H13" s="84"/>
      <c r="I13" s="41"/>
      <c r="J13" s="41">
        <v>100</v>
      </c>
      <c r="K13" s="44"/>
      <c r="L13" s="44"/>
      <c r="M13" s="44"/>
      <c r="N13" s="44"/>
      <c r="O13" s="44"/>
      <c r="P13" s="44"/>
      <c r="Q13" s="44"/>
      <c r="R13" s="44"/>
      <c r="S13" s="44"/>
      <c r="T13" s="44"/>
      <c r="U13" s="44"/>
      <c r="V13" s="44"/>
      <c r="W13" s="44"/>
      <c r="X13" s="44"/>
      <c r="Y13" s="44"/>
      <c r="Z13" s="44"/>
      <c r="AA13" s="44"/>
      <c r="AB13" s="44"/>
      <c r="AC13" s="44"/>
      <c r="AD13" s="44"/>
      <c r="AE13" s="44"/>
      <c r="AF13" s="44"/>
      <c r="AG13" s="44"/>
      <c r="AH13" s="44"/>
      <c r="AI13" s="44"/>
      <c r="AJ13" s="44"/>
      <c r="AK13" s="44"/>
      <c r="AL13" s="44"/>
      <c r="AM13" s="44"/>
      <c r="AN13" s="44"/>
      <c r="AO13" s="44"/>
      <c r="AP13" s="44"/>
      <c r="AQ13" s="44"/>
      <c r="AR13" s="44"/>
      <c r="AS13" s="44"/>
      <c r="AT13" s="44"/>
      <c r="AU13" s="44"/>
      <c r="AV13" s="44"/>
      <c r="AW13" s="44"/>
      <c r="AX13" s="44"/>
      <c r="AY13" s="44"/>
      <c r="AZ13" s="44"/>
      <c r="BA13" s="44"/>
      <c r="BB13" s="44"/>
      <c r="BC13" s="44"/>
      <c r="BD13" s="44"/>
      <c r="BE13" s="44"/>
    </row>
    <row r="14" spans="1:57" x14ac:dyDescent="0.25">
      <c r="B14" s="84"/>
      <c r="C14" s="84"/>
      <c r="D14" s="84"/>
      <c r="E14" s="84"/>
      <c r="F14" s="84"/>
      <c r="G14" s="84"/>
      <c r="H14" s="84"/>
      <c r="I14" s="41"/>
      <c r="J14" s="41">
        <f t="shared" ref="J14:J18" si="0" xml:space="preserve"> (A14 * I14)</f>
        <v>0</v>
      </c>
      <c r="K14" s="44"/>
      <c r="L14" s="44"/>
      <c r="M14" s="44"/>
      <c r="N14" s="44"/>
      <c r="O14" s="44"/>
      <c r="P14" s="44"/>
      <c r="Q14" s="44"/>
      <c r="R14" s="44"/>
      <c r="S14" s="44"/>
      <c r="T14" s="44"/>
      <c r="U14" s="44"/>
      <c r="V14" s="44"/>
      <c r="W14" s="44"/>
      <c r="X14" s="44"/>
      <c r="Y14" s="44"/>
      <c r="Z14" s="44"/>
      <c r="AA14" s="44"/>
      <c r="AB14" s="44"/>
      <c r="AC14" s="44"/>
      <c r="AD14" s="44"/>
      <c r="AE14" s="44"/>
      <c r="AF14" s="44"/>
      <c r="AG14" s="44"/>
      <c r="AH14" s="44"/>
      <c r="AI14" s="44"/>
      <c r="AJ14" s="44"/>
      <c r="AK14" s="44"/>
      <c r="AL14" s="44"/>
      <c r="AM14" s="44"/>
      <c r="AN14" s="44"/>
      <c r="AO14" s="44"/>
      <c r="AP14" s="44"/>
      <c r="AQ14" s="44"/>
      <c r="AR14" s="44"/>
      <c r="AS14" s="44"/>
      <c r="AT14" s="44"/>
      <c r="AU14" s="44"/>
      <c r="AV14" s="44"/>
      <c r="AW14" s="44"/>
      <c r="AX14" s="44"/>
      <c r="AY14" s="44"/>
      <c r="AZ14" s="44"/>
      <c r="BA14" s="44"/>
      <c r="BB14" s="44"/>
      <c r="BC14" s="44"/>
      <c r="BD14" s="44"/>
      <c r="BE14" s="44"/>
    </row>
    <row r="15" spans="1:57" x14ac:dyDescent="0.25">
      <c r="B15" s="84"/>
      <c r="C15" s="84"/>
      <c r="D15" s="84"/>
      <c r="E15" s="84"/>
      <c r="F15" s="84"/>
      <c r="G15" s="84"/>
      <c r="H15" s="84"/>
      <c r="I15" s="41"/>
      <c r="J15" s="41">
        <f t="shared" si="0"/>
        <v>0</v>
      </c>
      <c r="K15" s="44"/>
      <c r="L15" s="44"/>
      <c r="M15" s="44"/>
      <c r="N15" s="44"/>
      <c r="O15" s="44"/>
      <c r="P15" s="44"/>
      <c r="Q15" s="44"/>
      <c r="R15" s="44"/>
      <c r="S15" s="44"/>
      <c r="T15" s="44"/>
      <c r="U15" s="44"/>
      <c r="V15" s="44"/>
      <c r="W15" s="44"/>
      <c r="X15" s="44"/>
      <c r="Y15" s="44"/>
      <c r="Z15" s="44"/>
      <c r="AA15" s="44"/>
      <c r="AB15" s="44"/>
      <c r="AC15" s="44"/>
      <c r="AD15" s="44"/>
      <c r="AE15" s="44"/>
      <c r="AF15" s="44"/>
      <c r="AG15" s="44"/>
      <c r="AH15" s="44"/>
      <c r="AI15" s="44"/>
      <c r="AJ15" s="44"/>
      <c r="AK15" s="44"/>
      <c r="AL15" s="44"/>
      <c r="AM15" s="44"/>
      <c r="AN15" s="44"/>
      <c r="AO15" s="44"/>
      <c r="AP15" s="44"/>
      <c r="AQ15" s="44"/>
      <c r="AR15" s="44"/>
      <c r="AS15" s="44"/>
      <c r="AT15" s="44"/>
      <c r="AU15" s="44"/>
      <c r="AV15" s="44"/>
      <c r="AW15" s="44"/>
      <c r="AX15" s="44"/>
      <c r="AY15" s="44"/>
      <c r="AZ15" s="44"/>
      <c r="BA15" s="44"/>
      <c r="BB15" s="44"/>
      <c r="BC15" s="44"/>
      <c r="BD15" s="44"/>
      <c r="BE15" s="44"/>
    </row>
    <row r="16" spans="1:57" x14ac:dyDescent="0.25">
      <c r="B16" s="84"/>
      <c r="C16" s="84"/>
      <c r="D16" s="84"/>
      <c r="E16" s="84"/>
      <c r="F16" s="84"/>
      <c r="G16" s="84"/>
      <c r="H16" s="84"/>
      <c r="I16" s="41"/>
      <c r="J16" s="41">
        <f t="shared" si="0"/>
        <v>0</v>
      </c>
      <c r="K16" s="44"/>
      <c r="L16" s="44"/>
      <c r="M16" s="44"/>
      <c r="N16" s="44"/>
      <c r="O16" s="44"/>
      <c r="P16" s="44"/>
      <c r="Q16" s="44"/>
      <c r="R16" s="44"/>
      <c r="S16" s="44"/>
      <c r="T16" s="44"/>
      <c r="U16" s="44"/>
      <c r="V16" s="44"/>
      <c r="W16" s="44"/>
      <c r="X16" s="44"/>
      <c r="Y16" s="44"/>
      <c r="Z16" s="44"/>
      <c r="AA16" s="44"/>
      <c r="AB16" s="44"/>
      <c r="AC16" s="44"/>
      <c r="AD16" s="44"/>
      <c r="AE16" s="44"/>
      <c r="AF16" s="44"/>
      <c r="AG16" s="44"/>
      <c r="AH16" s="44"/>
      <c r="AI16" s="44"/>
      <c r="AJ16" s="44"/>
      <c r="AK16" s="44"/>
      <c r="AL16" s="44"/>
      <c r="AM16" s="44"/>
      <c r="AN16" s="44"/>
      <c r="AO16" s="44"/>
      <c r="AP16" s="44"/>
      <c r="AQ16" s="44"/>
      <c r="AR16" s="44"/>
      <c r="AS16" s="44"/>
      <c r="AT16" s="44"/>
      <c r="AU16" s="44"/>
      <c r="AV16" s="44"/>
      <c r="AW16" s="44"/>
      <c r="AX16" s="44"/>
      <c r="AY16" s="44"/>
      <c r="AZ16" s="44"/>
      <c r="BA16" s="44"/>
      <c r="BB16" s="44"/>
      <c r="BC16" s="44"/>
      <c r="BD16" s="44"/>
      <c r="BE16" s="44"/>
    </row>
    <row r="17" spans="1:57" x14ac:dyDescent="0.25">
      <c r="B17" s="84"/>
      <c r="C17" s="84"/>
      <c r="D17" s="84"/>
      <c r="E17" s="84"/>
      <c r="F17" s="84"/>
      <c r="G17" s="84"/>
      <c r="H17" s="84"/>
      <c r="I17" s="41"/>
      <c r="J17" s="41">
        <f t="shared" si="0"/>
        <v>0</v>
      </c>
      <c r="K17" s="44"/>
      <c r="L17" s="44"/>
      <c r="M17" s="44"/>
      <c r="N17" s="44"/>
      <c r="O17" s="44"/>
      <c r="P17" s="44"/>
      <c r="Q17" s="44"/>
      <c r="R17" s="44"/>
      <c r="S17" s="44"/>
      <c r="T17" s="44"/>
      <c r="U17" s="44"/>
      <c r="V17" s="44"/>
      <c r="W17" s="44"/>
      <c r="X17" s="44"/>
      <c r="Y17" s="44"/>
      <c r="Z17" s="44"/>
      <c r="AA17" s="44"/>
      <c r="AB17" s="44"/>
      <c r="AC17" s="44"/>
      <c r="AD17" s="44"/>
      <c r="AE17" s="44"/>
      <c r="AF17" s="44"/>
      <c r="AG17" s="44"/>
      <c r="AH17" s="44"/>
      <c r="AI17" s="44"/>
      <c r="AJ17" s="44"/>
      <c r="AK17" s="44"/>
      <c r="AL17" s="44"/>
      <c r="AM17" s="44"/>
      <c r="AN17" s="44"/>
      <c r="AO17" s="44"/>
      <c r="AP17" s="44"/>
      <c r="AQ17" s="44"/>
      <c r="AR17" s="44"/>
      <c r="AS17" s="44"/>
      <c r="AT17" s="44"/>
      <c r="AU17" s="44"/>
      <c r="AV17" s="44"/>
      <c r="AW17" s="44"/>
      <c r="AX17" s="44"/>
      <c r="AY17" s="44"/>
      <c r="AZ17" s="44"/>
      <c r="BA17" s="44"/>
      <c r="BB17" s="44"/>
      <c r="BC17" s="44"/>
      <c r="BD17" s="44"/>
      <c r="BE17" s="44"/>
    </row>
    <row r="18" spans="1:57" x14ac:dyDescent="0.25">
      <c r="B18" s="84"/>
      <c r="C18" s="84"/>
      <c r="D18" s="84"/>
      <c r="E18" s="84"/>
      <c r="F18" s="84"/>
      <c r="G18" s="84"/>
      <c r="H18" s="84"/>
      <c r="I18" s="41"/>
      <c r="J18" s="41">
        <f t="shared" si="0"/>
        <v>0</v>
      </c>
      <c r="K18" s="44"/>
      <c r="L18" s="44"/>
      <c r="M18" s="44"/>
      <c r="N18" s="44"/>
      <c r="O18" s="44"/>
      <c r="P18" s="44"/>
      <c r="Q18" s="44"/>
      <c r="R18" s="44"/>
      <c r="S18" s="44"/>
      <c r="T18" s="44"/>
      <c r="U18" s="44"/>
      <c r="V18" s="44"/>
      <c r="W18" s="44"/>
      <c r="X18" s="44"/>
      <c r="Y18" s="44"/>
      <c r="Z18" s="44"/>
      <c r="AA18" s="44"/>
      <c r="AB18" s="44"/>
      <c r="AC18" s="44"/>
      <c r="AD18" s="44"/>
      <c r="AE18" s="44"/>
      <c r="AF18" s="44"/>
      <c r="AG18" s="44"/>
      <c r="AH18" s="44"/>
      <c r="AI18" s="44"/>
      <c r="AJ18" s="44"/>
      <c r="AK18" s="44"/>
      <c r="AL18" s="44"/>
      <c r="AM18" s="44"/>
      <c r="AN18" s="44"/>
      <c r="AO18" s="44"/>
      <c r="AP18" s="44"/>
      <c r="AQ18" s="44"/>
      <c r="AR18" s="44"/>
      <c r="AS18" s="44"/>
      <c r="AT18" s="44"/>
      <c r="AU18" s="44"/>
      <c r="AV18" s="44"/>
      <c r="AW18" s="44"/>
      <c r="AX18" s="44"/>
      <c r="AY18" s="44"/>
      <c r="AZ18" s="44"/>
      <c r="BA18" s="44"/>
      <c r="BB18" s="44"/>
      <c r="BC18" s="44"/>
      <c r="BD18" s="44"/>
      <c r="BE18" s="44"/>
    </row>
    <row r="19" spans="1:57" ht="15.75" thickBot="1" x14ac:dyDescent="0.3">
      <c r="B19" s="84"/>
      <c r="C19" s="84"/>
      <c r="D19" s="84"/>
      <c r="E19" s="84"/>
      <c r="F19" s="84"/>
      <c r="G19" s="84"/>
      <c r="H19" s="84"/>
      <c r="I19" s="41"/>
      <c r="J19" s="41"/>
      <c r="K19" s="44"/>
      <c r="L19" s="44"/>
      <c r="M19" s="44"/>
      <c r="N19" s="44"/>
      <c r="O19" s="44"/>
      <c r="P19" s="44"/>
      <c r="Q19" s="44"/>
      <c r="R19" s="44"/>
      <c r="S19" s="44"/>
      <c r="T19" s="44"/>
      <c r="U19" s="44"/>
      <c r="V19" s="44"/>
      <c r="W19" s="44"/>
      <c r="X19" s="44"/>
      <c r="Y19" s="44"/>
      <c r="Z19" s="44"/>
      <c r="AA19" s="44"/>
      <c r="AB19" s="44"/>
      <c r="AC19" s="44"/>
      <c r="AD19" s="44"/>
      <c r="AE19" s="44"/>
      <c r="AF19" s="44"/>
      <c r="AG19" s="44"/>
      <c r="AH19" s="44"/>
      <c r="AI19" s="44"/>
      <c r="AJ19" s="44"/>
      <c r="AK19" s="44"/>
      <c r="AL19" s="44"/>
      <c r="AM19" s="44"/>
      <c r="AN19" s="44"/>
      <c r="AO19" s="44"/>
      <c r="AP19" s="44"/>
      <c r="AQ19" s="44"/>
      <c r="AR19" s="44"/>
      <c r="AS19" s="44"/>
      <c r="AT19" s="44"/>
      <c r="AU19" s="44"/>
      <c r="AV19" s="44"/>
      <c r="AW19" s="44"/>
      <c r="AX19" s="44"/>
      <c r="AY19" s="44"/>
      <c r="AZ19" s="44"/>
      <c r="BA19" s="44"/>
      <c r="BB19" s="44"/>
      <c r="BC19" s="44"/>
      <c r="BD19" s="44"/>
      <c r="BE19" s="44"/>
    </row>
    <row r="20" spans="1:57" ht="15.75" thickTop="1" x14ac:dyDescent="0.25">
      <c r="A20" s="94" t="s">
        <v>54</v>
      </c>
      <c r="B20" s="94"/>
      <c r="C20" s="94"/>
      <c r="D20" s="94"/>
      <c r="E20" s="94"/>
      <c r="F20" s="94"/>
      <c r="G20" s="94"/>
      <c r="H20" s="94"/>
      <c r="I20" s="94"/>
      <c r="J20" s="40">
        <f>SUM(J13:J19)</f>
        <v>100</v>
      </c>
      <c r="K20" s="44"/>
      <c r="L20" s="44"/>
      <c r="M20" s="44"/>
      <c r="N20" s="44"/>
      <c r="O20" s="44"/>
      <c r="P20" s="44"/>
      <c r="Q20" s="44"/>
      <c r="R20" s="44"/>
      <c r="S20" s="44"/>
      <c r="T20" s="44"/>
      <c r="U20" s="44"/>
      <c r="V20" s="44"/>
      <c r="W20" s="44"/>
      <c r="X20" s="44"/>
      <c r="Y20" s="44"/>
      <c r="Z20" s="44"/>
      <c r="AA20" s="44"/>
      <c r="AB20" s="44"/>
      <c r="AC20" s="44"/>
      <c r="AD20" s="44"/>
      <c r="AE20" s="44"/>
      <c r="AF20" s="44"/>
      <c r="AG20" s="44"/>
      <c r="AH20" s="44"/>
      <c r="AI20" s="44"/>
      <c r="AJ20" s="44"/>
      <c r="AK20" s="44"/>
      <c r="AL20" s="44"/>
      <c r="AM20" s="44"/>
      <c r="AN20" s="44"/>
      <c r="AO20" s="44"/>
      <c r="AP20" s="44"/>
      <c r="AQ20" s="44"/>
      <c r="AR20" s="44"/>
      <c r="AS20" s="44"/>
      <c r="AT20" s="44"/>
      <c r="AU20" s="44"/>
      <c r="AV20" s="44"/>
      <c r="AW20" s="44"/>
      <c r="AX20" s="44"/>
      <c r="AY20" s="44"/>
      <c r="AZ20" s="44"/>
      <c r="BA20" s="44"/>
      <c r="BB20" s="44"/>
      <c r="BC20" s="44"/>
      <c r="BD20" s="44"/>
      <c r="BE20" s="44"/>
    </row>
    <row r="21" spans="1:57" x14ac:dyDescent="0.25">
      <c r="B21" s="52"/>
      <c r="C21" s="93"/>
      <c r="D21" s="93"/>
      <c r="E21" s="93"/>
      <c r="F21" s="93"/>
      <c r="G21" s="93"/>
      <c r="I21" s="9" t="s">
        <v>55</v>
      </c>
      <c r="J21" s="41">
        <f>J20*Z1</f>
        <v>6</v>
      </c>
      <c r="K21" s="44"/>
      <c r="L21" s="44"/>
      <c r="M21" s="44"/>
      <c r="N21" s="44"/>
      <c r="O21" s="44"/>
      <c r="P21" s="44"/>
      <c r="Q21" s="44"/>
      <c r="R21" s="44"/>
      <c r="S21" s="44"/>
      <c r="T21" s="44"/>
      <c r="U21" s="44"/>
      <c r="V21" s="44"/>
      <c r="W21" s="44"/>
      <c r="X21" s="44"/>
      <c r="Y21" s="44"/>
      <c r="Z21" s="44"/>
      <c r="AA21" s="44"/>
      <c r="AB21" s="44"/>
      <c r="AC21" s="44"/>
      <c r="AD21" s="44"/>
      <c r="AE21" s="44"/>
      <c r="AF21" s="44"/>
      <c r="AG21" s="44"/>
      <c r="AH21" s="44"/>
      <c r="AI21" s="44"/>
      <c r="AJ21" s="44"/>
      <c r="AK21" s="44"/>
      <c r="AL21" s="44"/>
      <c r="AM21" s="44"/>
      <c r="AN21" s="44"/>
      <c r="AO21" s="44"/>
      <c r="AP21" s="44"/>
      <c r="AQ21" s="44"/>
      <c r="AR21" s="44"/>
      <c r="AS21" s="44"/>
      <c r="AT21" s="44"/>
      <c r="AU21" s="44"/>
      <c r="AV21" s="44"/>
      <c r="AW21" s="44"/>
      <c r="AX21" s="44"/>
      <c r="AY21" s="44"/>
      <c r="AZ21" s="44"/>
      <c r="BA21" s="44"/>
      <c r="BB21" s="44"/>
      <c r="BC21" s="44"/>
      <c r="BD21" s="44"/>
      <c r="BE21" s="44"/>
    </row>
    <row r="22" spans="1:57" x14ac:dyDescent="0.25">
      <c r="B22" s="52"/>
      <c r="C22" s="93"/>
      <c r="D22" s="93"/>
      <c r="E22" s="93"/>
      <c r="F22" s="93"/>
      <c r="G22" s="93"/>
      <c r="I22" s="9"/>
      <c r="K22" s="44"/>
      <c r="L22" s="44"/>
      <c r="M22" s="44"/>
      <c r="N22" s="44"/>
      <c r="O22" s="44"/>
      <c r="P22" s="44"/>
      <c r="Q22" s="44"/>
      <c r="R22" s="44"/>
      <c r="S22" s="44"/>
      <c r="T22" s="44"/>
      <c r="U22" s="44"/>
      <c r="V22" s="44"/>
      <c r="W22" s="44"/>
      <c r="X22" s="44"/>
      <c r="Y22" s="44"/>
      <c r="Z22" s="44"/>
      <c r="AA22" s="44"/>
      <c r="AB22" s="44"/>
      <c r="AC22" s="44"/>
      <c r="AD22" s="44"/>
      <c r="AE22" s="44"/>
      <c r="AF22" s="44"/>
      <c r="AG22" s="44"/>
      <c r="AH22" s="44"/>
      <c r="AI22" s="44"/>
      <c r="AJ22" s="44"/>
      <c r="AK22" s="44"/>
      <c r="AL22" s="44"/>
      <c r="AM22" s="44"/>
      <c r="AN22" s="44"/>
      <c r="AO22" s="44"/>
      <c r="AP22" s="44"/>
      <c r="AQ22" s="44"/>
      <c r="AR22" s="44"/>
      <c r="AS22" s="44"/>
      <c r="AT22" s="44"/>
      <c r="AU22" s="44"/>
      <c r="AV22" s="44"/>
      <c r="AW22" s="44"/>
      <c r="AX22" s="44"/>
      <c r="AY22" s="44"/>
      <c r="AZ22" s="44"/>
      <c r="BA22" s="44"/>
      <c r="BB22" s="44"/>
      <c r="BC22" s="44"/>
      <c r="BD22" s="44"/>
      <c r="BE22" s="44"/>
    </row>
    <row r="23" spans="1:57" x14ac:dyDescent="0.25">
      <c r="B23" s="52"/>
      <c r="C23" s="93"/>
      <c r="D23" s="93"/>
      <c r="E23" s="93"/>
      <c r="F23" s="93"/>
      <c r="G23" s="93"/>
      <c r="I23" s="9" t="s">
        <v>68</v>
      </c>
      <c r="J23" s="41">
        <f>J20 - J21</f>
        <v>94</v>
      </c>
      <c r="K23" s="44"/>
      <c r="L23" s="44"/>
      <c r="M23" s="44"/>
      <c r="N23" s="44"/>
      <c r="O23" s="44"/>
      <c r="P23" s="44"/>
      <c r="Q23" s="44"/>
      <c r="R23" s="44"/>
      <c r="S23" s="44"/>
      <c r="T23" s="44"/>
      <c r="U23" s="44"/>
      <c r="V23" s="44"/>
      <c r="W23" s="44"/>
      <c r="X23" s="44"/>
      <c r="Y23" s="44"/>
      <c r="Z23" s="44"/>
      <c r="AA23" s="44"/>
      <c r="AB23" s="44"/>
      <c r="AC23" s="44"/>
      <c r="AD23" s="44"/>
      <c r="AE23" s="44"/>
      <c r="AF23" s="44"/>
      <c r="AG23" s="44"/>
      <c r="AH23" s="44"/>
      <c r="AI23" s="44"/>
      <c r="AJ23" s="44"/>
      <c r="AK23" s="44"/>
      <c r="AL23" s="44"/>
      <c r="AM23" s="44"/>
      <c r="AN23" s="44"/>
      <c r="AO23" s="44"/>
      <c r="AP23" s="44"/>
      <c r="AQ23" s="44"/>
      <c r="AR23" s="44"/>
      <c r="AS23" s="44"/>
      <c r="AT23" s="44"/>
      <c r="AU23" s="44"/>
      <c r="AV23" s="44"/>
      <c r="AW23" s="44"/>
      <c r="AX23" s="44"/>
      <c r="AY23" s="44"/>
      <c r="AZ23" s="44"/>
      <c r="BA23" s="44"/>
      <c r="BB23" s="44"/>
      <c r="BC23" s="44"/>
      <c r="BD23" s="44"/>
      <c r="BE23" s="44"/>
    </row>
    <row r="24" spans="1:57" x14ac:dyDescent="0.25">
      <c r="K24" s="44"/>
      <c r="L24" s="44"/>
      <c r="M24" s="44"/>
      <c r="N24" s="44"/>
      <c r="O24" s="44"/>
      <c r="P24" s="44"/>
      <c r="Q24" s="44"/>
      <c r="R24" s="44"/>
      <c r="S24" s="44"/>
      <c r="T24" s="44"/>
      <c r="U24" s="44"/>
      <c r="V24" s="44"/>
      <c r="W24" s="44"/>
      <c r="X24" s="44"/>
      <c r="Y24" s="44"/>
      <c r="Z24" s="44"/>
      <c r="AA24" s="44"/>
      <c r="AB24" s="44"/>
      <c r="AC24" s="44"/>
      <c r="AD24" s="44"/>
      <c r="AE24" s="44"/>
      <c r="AF24" s="44"/>
      <c r="AG24" s="44"/>
      <c r="AH24" s="44"/>
      <c r="AI24" s="44"/>
      <c r="AJ24" s="44"/>
      <c r="AK24" s="44"/>
      <c r="AL24" s="44"/>
      <c r="AM24" s="44"/>
      <c r="AN24" s="44"/>
      <c r="AO24" s="44"/>
      <c r="AP24" s="44"/>
      <c r="AQ24" s="44"/>
      <c r="AR24" s="44"/>
      <c r="AS24" s="44"/>
      <c r="AT24" s="44"/>
      <c r="AU24" s="44"/>
      <c r="AV24" s="44"/>
      <c r="AW24" s="44"/>
      <c r="AX24" s="44"/>
      <c r="AY24" s="44"/>
      <c r="AZ24" s="44"/>
      <c r="BA24" s="44"/>
      <c r="BB24" s="44"/>
      <c r="BC24" s="44"/>
      <c r="BD24" s="44"/>
      <c r="BE24" s="44"/>
    </row>
    <row r="25" spans="1:57" ht="15.75" thickBot="1" x14ac:dyDescent="0.3">
      <c r="A25" s="42"/>
      <c r="B25" s="42"/>
      <c r="C25" s="42"/>
      <c r="D25" s="42"/>
      <c r="E25" s="42"/>
      <c r="F25" s="42"/>
      <c r="G25" s="42"/>
      <c r="H25" s="42"/>
      <c r="I25" s="42"/>
      <c r="J25" s="42"/>
      <c r="K25" s="44"/>
      <c r="L25" s="44"/>
      <c r="M25" s="44"/>
      <c r="N25" s="44"/>
      <c r="O25" s="44"/>
      <c r="P25" s="44"/>
      <c r="Q25" s="44"/>
      <c r="R25" s="44"/>
      <c r="S25" s="44"/>
      <c r="T25" s="44"/>
      <c r="U25" s="44"/>
      <c r="V25" s="44"/>
      <c r="W25" s="44"/>
      <c r="X25" s="44"/>
      <c r="Y25" s="44"/>
      <c r="Z25" s="44"/>
      <c r="AA25" s="44"/>
      <c r="AB25" s="44"/>
      <c r="AC25" s="44"/>
      <c r="AD25" s="44"/>
      <c r="AE25" s="44"/>
      <c r="AF25" s="44"/>
      <c r="AG25" s="44"/>
      <c r="AH25" s="44"/>
      <c r="AI25" s="44"/>
      <c r="AJ25" s="44"/>
      <c r="AK25" s="44"/>
      <c r="AL25" s="44"/>
      <c r="AM25" s="44"/>
      <c r="AN25" s="44"/>
      <c r="AO25" s="44"/>
      <c r="AP25" s="44"/>
      <c r="AQ25" s="44"/>
      <c r="AR25" s="44"/>
      <c r="AS25" s="44"/>
      <c r="AT25" s="44"/>
      <c r="AU25" s="44"/>
      <c r="AV25" s="44"/>
      <c r="AW25" s="44"/>
      <c r="AX25" s="44"/>
      <c r="AY25" s="44"/>
      <c r="AZ25" s="44"/>
      <c r="BA25" s="44"/>
      <c r="BB25" s="44"/>
      <c r="BC25" s="44"/>
      <c r="BD25" s="44"/>
      <c r="BE25" s="44"/>
    </row>
    <row r="26" spans="1:57" ht="15.75" thickTop="1" x14ac:dyDescent="0.25">
      <c r="A26" s="49" t="s">
        <v>57</v>
      </c>
      <c r="B26">
        <f>B1</f>
        <v>260010</v>
      </c>
      <c r="D26" s="95" t="s">
        <v>70</v>
      </c>
      <c r="E26" s="95"/>
      <c r="G26" s="1" t="s">
        <v>53</v>
      </c>
      <c r="H26" s="96">
        <f ca="1">H1</f>
        <v>46159</v>
      </c>
      <c r="I26" s="96"/>
      <c r="K26" s="44"/>
      <c r="L26" s="44"/>
      <c r="M26" s="44"/>
      <c r="N26" s="44"/>
      <c r="O26" s="44"/>
      <c r="P26" s="44"/>
      <c r="Q26" s="44"/>
      <c r="R26" s="44"/>
      <c r="S26" s="44"/>
      <c r="T26" s="44"/>
      <c r="U26" s="44"/>
      <c r="V26" s="44"/>
      <c r="W26" s="44"/>
      <c r="X26" s="44"/>
      <c r="Y26" s="44"/>
      <c r="Z26" s="44"/>
      <c r="AA26" s="44"/>
      <c r="AB26" s="44"/>
      <c r="AC26" s="44"/>
      <c r="AD26" s="44"/>
      <c r="AE26" s="44"/>
      <c r="AF26" s="44"/>
      <c r="AG26" s="44"/>
      <c r="AH26" s="44"/>
      <c r="AI26" s="44"/>
      <c r="AJ26" s="44"/>
      <c r="AK26" s="44"/>
      <c r="AL26" s="44"/>
      <c r="AM26" s="44"/>
      <c r="AN26" s="44"/>
      <c r="AO26" s="44"/>
      <c r="AP26" s="44"/>
      <c r="AQ26" s="44"/>
      <c r="AR26" s="44"/>
      <c r="AS26" s="44"/>
      <c r="AT26" s="44"/>
      <c r="AU26" s="44"/>
      <c r="AV26" s="44"/>
      <c r="AW26" s="44"/>
      <c r="AX26" s="44"/>
      <c r="AY26" s="44"/>
      <c r="AZ26" s="44"/>
      <c r="BA26" s="44"/>
      <c r="BB26" s="44"/>
      <c r="BC26" s="44"/>
      <c r="BD26" s="44"/>
      <c r="BE26" s="44"/>
    </row>
    <row r="27" spans="1:57" x14ac:dyDescent="0.25">
      <c r="K27" s="44"/>
      <c r="L27" s="44"/>
      <c r="M27" s="44"/>
      <c r="N27" s="44"/>
      <c r="O27" s="44"/>
      <c r="P27" s="44"/>
      <c r="Q27" s="44"/>
      <c r="R27" s="44"/>
      <c r="S27" s="44"/>
      <c r="T27" s="44"/>
      <c r="U27" s="44"/>
      <c r="V27" s="44"/>
      <c r="W27" s="44"/>
      <c r="X27" s="44"/>
      <c r="Y27" s="44"/>
      <c r="Z27" s="44"/>
      <c r="AA27" s="44"/>
      <c r="AB27" s="44"/>
      <c r="AC27" s="44"/>
      <c r="AD27" s="44"/>
      <c r="AE27" s="44"/>
      <c r="AF27" s="44"/>
      <c r="AG27" s="44"/>
      <c r="AH27" s="44"/>
      <c r="AI27" s="44"/>
      <c r="AJ27" s="44"/>
      <c r="AK27" s="44"/>
      <c r="AL27" s="44"/>
      <c r="AM27" s="44"/>
      <c r="AN27" s="44"/>
      <c r="AO27" s="44"/>
      <c r="AP27" s="44"/>
      <c r="AQ27" s="44"/>
      <c r="AR27" s="44"/>
      <c r="AS27" s="44"/>
      <c r="AT27" s="44"/>
      <c r="AU27" s="44"/>
      <c r="AV27" s="44"/>
      <c r="AW27" s="44"/>
      <c r="AX27" s="44"/>
      <c r="AY27" s="44"/>
      <c r="AZ27" s="44"/>
      <c r="BA27" s="44"/>
      <c r="BB27" s="44"/>
      <c r="BC27" s="44"/>
      <c r="BD27" s="44"/>
      <c r="BE27" s="44"/>
    </row>
    <row r="28" spans="1:57" x14ac:dyDescent="0.25">
      <c r="A28" s="49" t="s">
        <v>58</v>
      </c>
      <c r="G28" s="49" t="s">
        <v>59</v>
      </c>
      <c r="H28" s="88" t="str">
        <f>H3</f>
        <v>Central Labs Ltd.</v>
      </c>
      <c r="I28" s="88"/>
      <c r="J28" s="88"/>
      <c r="K28" s="44"/>
      <c r="L28" s="44"/>
      <c r="M28" s="44"/>
      <c r="N28" s="44"/>
      <c r="O28" s="44"/>
      <c r="P28" s="44"/>
      <c r="Q28" s="44"/>
      <c r="R28" s="44"/>
      <c r="S28" s="44"/>
      <c r="T28" s="44"/>
      <c r="U28" s="44"/>
      <c r="V28" s="44"/>
      <c r="W28" s="44"/>
      <c r="X28" s="44"/>
      <c r="Y28" s="44"/>
      <c r="Z28" s="44"/>
      <c r="AA28" s="44"/>
      <c r="AB28" s="44"/>
      <c r="AC28" s="44"/>
      <c r="AD28" s="44"/>
      <c r="AE28" s="44"/>
      <c r="AF28" s="44"/>
      <c r="AG28" s="44"/>
      <c r="AH28" s="44"/>
      <c r="AI28" s="44"/>
      <c r="AJ28" s="44"/>
      <c r="AK28" s="44"/>
      <c r="AL28" s="44"/>
      <c r="AM28" s="44"/>
      <c r="AN28" s="44"/>
      <c r="AO28" s="44"/>
      <c r="AP28" s="44"/>
      <c r="AQ28" s="44"/>
      <c r="AR28" s="44"/>
      <c r="AS28" s="44"/>
      <c r="AT28" s="44"/>
      <c r="AU28" s="44"/>
      <c r="AV28" s="44"/>
      <c r="AW28" s="44"/>
      <c r="AX28" s="44"/>
      <c r="AY28" s="44"/>
      <c r="AZ28" s="44"/>
      <c r="BA28" s="44"/>
      <c r="BB28" s="44"/>
      <c r="BC28" s="44"/>
      <c r="BD28" s="44"/>
      <c r="BE28" s="44"/>
    </row>
    <row r="29" spans="1:57" x14ac:dyDescent="0.25">
      <c r="A29" s="91" t="s">
        <v>0</v>
      </c>
      <c r="B29" s="91"/>
      <c r="C29" s="88" t="str">
        <f t="shared" ref="C29:C34" si="1">C4</f>
        <v>Bar N Ranch</v>
      </c>
      <c r="D29" s="88"/>
      <c r="E29" s="88"/>
      <c r="H29" s="88" t="str">
        <f>H4</f>
        <v>B5, 53-Burnt Park Drive</v>
      </c>
      <c r="I29" s="88"/>
      <c r="J29" s="88"/>
      <c r="K29" s="44"/>
      <c r="L29" s="44"/>
      <c r="M29" s="44"/>
      <c r="N29" s="44"/>
      <c r="O29" s="44"/>
      <c r="P29" s="44"/>
      <c r="Q29" s="44"/>
      <c r="R29" s="44"/>
      <c r="S29" s="44"/>
      <c r="T29" s="44"/>
      <c r="U29" s="44"/>
      <c r="V29" s="44"/>
      <c r="W29" s="44"/>
      <c r="X29" s="44"/>
      <c r="Y29" s="44"/>
      <c r="Z29" s="44"/>
      <c r="AA29" s="44"/>
      <c r="AB29" s="44"/>
      <c r="AC29" s="44"/>
      <c r="AD29" s="44"/>
      <c r="AE29" s="44"/>
      <c r="AF29" s="44"/>
      <c r="AG29" s="44"/>
      <c r="AH29" s="44"/>
      <c r="AI29" s="44"/>
      <c r="AJ29" s="44"/>
      <c r="AK29" s="44"/>
      <c r="AL29" s="44"/>
      <c r="AM29" s="44"/>
      <c r="AN29" s="44"/>
      <c r="AO29" s="44"/>
      <c r="AP29" s="44"/>
      <c r="AQ29" s="44"/>
      <c r="AR29" s="44"/>
      <c r="AS29" s="44"/>
      <c r="AT29" s="44"/>
      <c r="AU29" s="44"/>
      <c r="AV29" s="44"/>
      <c r="AW29" s="44"/>
      <c r="AX29" s="44"/>
      <c r="AY29" s="44"/>
      <c r="AZ29" s="44"/>
      <c r="BA29" s="44"/>
      <c r="BB29" s="44"/>
      <c r="BC29" s="44"/>
      <c r="BD29" s="44"/>
      <c r="BE29" s="44"/>
    </row>
    <row r="30" spans="1:57" x14ac:dyDescent="0.25">
      <c r="A30" s="91" t="s">
        <v>2</v>
      </c>
      <c r="B30" s="91"/>
      <c r="C30" s="88" t="str">
        <f t="shared" si="1"/>
        <v>Barry Bar</v>
      </c>
      <c r="D30" s="88"/>
      <c r="E30" s="88"/>
      <c r="H30" s="88" t="str">
        <f t="shared" ref="H30:H33" si="2">H5</f>
        <v>Red Deer, AB; T4P 0J7</v>
      </c>
      <c r="I30" s="88"/>
      <c r="J30" s="88"/>
      <c r="K30" s="44"/>
      <c r="L30" s="44"/>
      <c r="M30" s="44"/>
      <c r="N30" s="44"/>
      <c r="O30" s="44"/>
      <c r="P30" s="44"/>
      <c r="Q30" s="44"/>
      <c r="R30" s="44"/>
      <c r="S30" s="44"/>
      <c r="T30" s="44"/>
      <c r="U30" s="44"/>
      <c r="V30" s="44"/>
      <c r="W30" s="44"/>
      <c r="X30" s="44"/>
      <c r="Y30" s="44"/>
      <c r="Z30" s="44"/>
      <c r="AA30" s="44"/>
      <c r="AB30" s="44"/>
      <c r="AC30" s="44"/>
      <c r="AD30" s="44"/>
      <c r="AE30" s="44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4"/>
      <c r="AT30" s="44"/>
      <c r="AU30" s="44"/>
      <c r="AV30" s="44"/>
      <c r="AW30" s="44"/>
      <c r="AX30" s="44"/>
      <c r="AY30" s="44"/>
      <c r="AZ30" s="44"/>
      <c r="BA30" s="44"/>
      <c r="BB30" s="44"/>
      <c r="BC30" s="44"/>
      <c r="BD30" s="44"/>
      <c r="BE30" s="44"/>
    </row>
    <row r="31" spans="1:57" x14ac:dyDescent="0.25">
      <c r="A31" s="9"/>
      <c r="B31" s="9" t="s">
        <v>4</v>
      </c>
      <c r="C31" s="88" t="str">
        <f t="shared" si="1"/>
        <v>Box 32</v>
      </c>
      <c r="D31" s="88"/>
      <c r="E31" s="88"/>
      <c r="H31" s="88" t="str">
        <f t="shared" si="2"/>
        <v>Ph: (403) 348-8378</v>
      </c>
      <c r="I31" s="88"/>
      <c r="J31" s="88"/>
      <c r="K31" s="44"/>
      <c r="L31" s="44"/>
      <c r="M31" s="44"/>
      <c r="N31" s="44"/>
      <c r="O31" s="44"/>
      <c r="P31" s="44"/>
      <c r="Q31" s="44"/>
      <c r="R31" s="44"/>
      <c r="S31" s="44"/>
      <c r="T31" s="44"/>
      <c r="U31" s="44"/>
      <c r="V31" s="44"/>
      <c r="W31" s="44"/>
      <c r="X31" s="44"/>
      <c r="Y31" s="44"/>
      <c r="Z31" s="44"/>
      <c r="AA31" s="44"/>
      <c r="AB31" s="44"/>
      <c r="AC31" s="44"/>
      <c r="AD31" s="44"/>
      <c r="AE31" s="44"/>
      <c r="AF31" s="44"/>
      <c r="AG31" s="44"/>
      <c r="AH31" s="44"/>
      <c r="AI31" s="44"/>
      <c r="AJ31" s="44"/>
      <c r="AK31" s="44"/>
      <c r="AL31" s="44"/>
      <c r="AM31" s="44"/>
      <c r="AN31" s="44"/>
      <c r="AO31" s="44"/>
      <c r="AP31" s="44"/>
      <c r="AQ31" s="44"/>
      <c r="AR31" s="44"/>
      <c r="AS31" s="44"/>
      <c r="AT31" s="44"/>
      <c r="AU31" s="44"/>
      <c r="AV31" s="44"/>
      <c r="AW31" s="44"/>
      <c r="AX31" s="44"/>
      <c r="AY31" s="44"/>
      <c r="AZ31" s="44"/>
      <c r="BA31" s="44"/>
      <c r="BB31" s="44"/>
      <c r="BC31" s="44"/>
      <c r="BD31" s="44"/>
      <c r="BE31" s="44"/>
    </row>
    <row r="32" spans="1:57" x14ac:dyDescent="0.25">
      <c r="A32" s="91" t="s">
        <v>5</v>
      </c>
      <c r="B32" s="91"/>
      <c r="C32" s="88" t="str">
        <f t="shared" si="1"/>
        <v>Black Diamond</v>
      </c>
      <c r="D32" s="88"/>
      <c r="E32" s="88"/>
      <c r="H32" s="88" t="str">
        <f t="shared" si="2"/>
        <v>GST: 81583 0427 RT0001</v>
      </c>
      <c r="I32" s="88"/>
      <c r="J32" s="88"/>
      <c r="K32" s="44"/>
      <c r="L32" s="44"/>
      <c r="M32" s="44"/>
      <c r="N32" s="44"/>
      <c r="O32" s="44"/>
      <c r="P32" s="44"/>
      <c r="Q32" s="44"/>
      <c r="R32" s="44"/>
      <c r="S32" s="44"/>
      <c r="T32" s="44"/>
      <c r="U32" s="44"/>
      <c r="V32" s="44"/>
      <c r="W32" s="44"/>
      <c r="X32" s="44"/>
      <c r="Y32" s="44"/>
      <c r="Z32" s="44"/>
      <c r="AA32" s="44"/>
      <c r="AB32" s="44"/>
      <c r="AC32" s="44"/>
      <c r="AD32" s="44"/>
      <c r="AE32" s="44"/>
      <c r="AF32" s="44"/>
      <c r="AG32" s="44"/>
      <c r="AH32" s="44"/>
      <c r="AI32" s="44"/>
      <c r="AJ32" s="44"/>
      <c r="AK32" s="44"/>
      <c r="AL32" s="44"/>
      <c r="AM32" s="44"/>
      <c r="AN32" s="44"/>
      <c r="AO32" s="44"/>
      <c r="AP32" s="44"/>
      <c r="AQ32" s="44"/>
      <c r="AR32" s="44"/>
      <c r="AS32" s="44"/>
      <c r="AT32" s="44"/>
      <c r="AU32" s="44"/>
      <c r="AV32" s="44"/>
      <c r="AW32" s="44"/>
      <c r="AX32" s="44"/>
      <c r="AY32" s="44"/>
      <c r="AZ32" s="44"/>
      <c r="BA32" s="44"/>
      <c r="BB32" s="44"/>
      <c r="BC32" s="44"/>
      <c r="BD32" s="44"/>
      <c r="BE32" s="44"/>
    </row>
    <row r="33" spans="1:57" x14ac:dyDescent="0.25">
      <c r="A33" s="91" t="s">
        <v>6</v>
      </c>
      <c r="B33" s="91"/>
      <c r="C33" s="88" t="str">
        <f t="shared" si="1"/>
        <v>AB</v>
      </c>
      <c r="D33" s="88"/>
      <c r="E33" s="88"/>
      <c r="H33" s="88" t="str">
        <f t="shared" si="2"/>
        <v>Email: reporting@c-labs.ca</v>
      </c>
      <c r="I33" s="88"/>
      <c r="J33" s="88"/>
      <c r="K33" s="44"/>
      <c r="L33" s="44"/>
      <c r="M33" s="44"/>
      <c r="N33" s="44"/>
      <c r="O33" s="44"/>
      <c r="P33" s="44"/>
      <c r="Q33" s="44"/>
      <c r="R33" s="44"/>
      <c r="S33" s="44"/>
      <c r="T33" s="44"/>
      <c r="U33" s="44"/>
      <c r="V33" s="44"/>
      <c r="W33" s="44"/>
      <c r="X33" s="44"/>
      <c r="Y33" s="44"/>
      <c r="Z33" s="44"/>
      <c r="AA33" s="44"/>
      <c r="AB33" s="44"/>
      <c r="AC33" s="44"/>
      <c r="AD33" s="44"/>
      <c r="AE33" s="44"/>
      <c r="AF33" s="44"/>
      <c r="AG33" s="44"/>
      <c r="AH33" s="44"/>
      <c r="AI33" s="44"/>
      <c r="AJ33" s="44"/>
      <c r="AK33" s="44"/>
      <c r="AL33" s="44"/>
      <c r="AM33" s="44"/>
      <c r="AN33" s="44"/>
      <c r="AO33" s="44"/>
      <c r="AP33" s="44"/>
      <c r="AQ33" s="44"/>
      <c r="AR33" s="44"/>
      <c r="AS33" s="44"/>
      <c r="AT33" s="44"/>
      <c r="AU33" s="44"/>
      <c r="AV33" s="44"/>
      <c r="AW33" s="44"/>
      <c r="AX33" s="44"/>
      <c r="AY33" s="44"/>
      <c r="AZ33" s="44"/>
      <c r="BA33" s="44"/>
      <c r="BB33" s="44"/>
      <c r="BC33" s="44"/>
      <c r="BD33" s="44"/>
      <c r="BE33" s="44"/>
    </row>
    <row r="34" spans="1:57" x14ac:dyDescent="0.25">
      <c r="A34" s="91" t="s">
        <v>7</v>
      </c>
      <c r="B34" s="91"/>
      <c r="C34" s="88" t="str">
        <f t="shared" si="1"/>
        <v>T0B 1Z3</v>
      </c>
      <c r="D34" s="88"/>
      <c r="E34" s="88"/>
      <c r="H34" s="37"/>
      <c r="I34" s="37"/>
      <c r="J34" s="37"/>
      <c r="K34" s="44"/>
      <c r="L34" s="44"/>
      <c r="M34" s="44"/>
      <c r="N34" s="44"/>
      <c r="O34" s="44"/>
      <c r="P34" s="44"/>
      <c r="Q34" s="44"/>
      <c r="R34" s="44"/>
      <c r="S34" s="44"/>
      <c r="T34" s="44"/>
      <c r="U34" s="44"/>
      <c r="V34" s="44"/>
      <c r="W34" s="44"/>
      <c r="X34" s="44"/>
      <c r="Y34" s="44"/>
      <c r="Z34" s="44"/>
      <c r="AA34" s="44"/>
      <c r="AB34" s="44"/>
      <c r="AC34" s="44"/>
      <c r="AD34" s="44"/>
      <c r="AE34" s="44"/>
      <c r="AF34" s="44"/>
      <c r="AG34" s="44"/>
      <c r="AH34" s="44"/>
      <c r="AI34" s="44"/>
      <c r="AJ34" s="44"/>
      <c r="AK34" s="44"/>
      <c r="AL34" s="44"/>
      <c r="AM34" s="44"/>
      <c r="AN34" s="44"/>
      <c r="AO34" s="44"/>
      <c r="AP34" s="44"/>
      <c r="AQ34" s="44"/>
      <c r="AR34" s="44"/>
      <c r="AS34" s="44"/>
      <c r="AT34" s="44"/>
      <c r="AU34" s="44"/>
      <c r="AV34" s="44"/>
      <c r="AW34" s="44"/>
      <c r="AX34" s="44"/>
      <c r="AY34" s="44"/>
      <c r="AZ34" s="44"/>
      <c r="BA34" s="44"/>
      <c r="BB34" s="44"/>
      <c r="BC34" s="44"/>
      <c r="BD34" s="44"/>
      <c r="BE34" s="44"/>
    </row>
    <row r="35" spans="1:57" x14ac:dyDescent="0.25">
      <c r="K35" s="44"/>
      <c r="L35" s="44"/>
      <c r="M35" s="44"/>
      <c r="N35" s="44"/>
      <c r="O35" s="44"/>
      <c r="P35" s="44"/>
      <c r="Q35" s="44"/>
      <c r="R35" s="44"/>
      <c r="S35" s="44"/>
      <c r="T35" s="44"/>
      <c r="U35" s="44"/>
      <c r="V35" s="44"/>
      <c r="W35" s="44"/>
      <c r="X35" s="44"/>
      <c r="Y35" s="44"/>
      <c r="Z35" s="44"/>
      <c r="AA35" s="44"/>
      <c r="AB35" s="44"/>
      <c r="AC35" s="44"/>
      <c r="AD35" s="44"/>
      <c r="AE35" s="44"/>
      <c r="AF35" s="44"/>
      <c r="AG35" s="44"/>
      <c r="AH35" s="44"/>
      <c r="AI35" s="44"/>
      <c r="AJ35" s="44"/>
      <c r="AK35" s="44"/>
      <c r="AL35" s="44"/>
      <c r="AM35" s="44"/>
      <c r="AN35" s="44"/>
      <c r="AO35" s="44"/>
      <c r="AP35" s="44"/>
      <c r="AQ35" s="44"/>
      <c r="AR35" s="44"/>
      <c r="AS35" s="44"/>
      <c r="AT35" s="44"/>
      <c r="AU35" s="44"/>
      <c r="AV35" s="44"/>
      <c r="AW35" s="44"/>
      <c r="AX35" s="44"/>
      <c r="AY35" s="44"/>
      <c r="AZ35" s="44"/>
      <c r="BA35" s="44"/>
      <c r="BB35" s="44"/>
      <c r="BC35" s="44"/>
      <c r="BD35" s="44"/>
      <c r="BE35" s="44"/>
    </row>
    <row r="36" spans="1:57" x14ac:dyDescent="0.25">
      <c r="A36" s="89" t="s">
        <v>9</v>
      </c>
      <c r="B36" s="89"/>
      <c r="C36" s="89"/>
      <c r="D36" s="89"/>
      <c r="E36" s="89"/>
      <c r="F36" s="89"/>
      <c r="G36" s="89"/>
      <c r="H36" s="89"/>
      <c r="I36" s="89"/>
      <c r="J36" s="89"/>
      <c r="K36" s="44"/>
      <c r="L36" s="44"/>
      <c r="M36" s="44"/>
      <c r="N36" s="44"/>
      <c r="O36" s="44"/>
      <c r="P36" s="44"/>
      <c r="Q36" s="44"/>
      <c r="R36" s="44"/>
      <c r="S36" s="44"/>
      <c r="T36" s="44"/>
      <c r="U36" s="44"/>
      <c r="V36" s="44"/>
      <c r="W36" s="44"/>
      <c r="X36" s="44"/>
      <c r="Y36" s="44"/>
      <c r="Z36" s="44"/>
      <c r="AA36" s="44"/>
      <c r="AB36" s="44"/>
      <c r="AC36" s="44"/>
      <c r="AD36" s="44"/>
      <c r="AE36" s="44"/>
      <c r="AF36" s="44"/>
      <c r="AG36" s="44"/>
      <c r="AH36" s="44"/>
      <c r="AI36" s="44"/>
      <c r="AJ36" s="44"/>
      <c r="AK36" s="44"/>
      <c r="AL36" s="44"/>
      <c r="AM36" s="44"/>
      <c r="AN36" s="44"/>
      <c r="AO36" s="44"/>
      <c r="AP36" s="44"/>
      <c r="AQ36" s="44"/>
      <c r="AR36" s="44"/>
      <c r="AS36" s="44"/>
      <c r="AT36" s="44"/>
      <c r="AU36" s="44"/>
      <c r="AV36" s="44"/>
      <c r="AW36" s="44"/>
      <c r="AX36" s="44"/>
      <c r="AY36" s="44"/>
      <c r="AZ36" s="44"/>
      <c r="BA36" s="44"/>
      <c r="BB36" s="44"/>
      <c r="BC36" s="44"/>
      <c r="BD36" s="44"/>
      <c r="BE36" s="44"/>
    </row>
    <row r="37" spans="1:57" x14ac:dyDescent="0.25">
      <c r="A37" s="38" t="s">
        <v>66</v>
      </c>
      <c r="B37" s="90" t="s">
        <v>67</v>
      </c>
      <c r="C37" s="90"/>
      <c r="D37" s="90"/>
      <c r="E37" s="90"/>
      <c r="F37" s="90"/>
      <c r="G37" s="90"/>
      <c r="H37" s="90"/>
      <c r="I37" s="39" t="s">
        <v>12</v>
      </c>
      <c r="J37" s="39" t="s">
        <v>68</v>
      </c>
      <c r="K37" s="44"/>
      <c r="L37" s="44"/>
      <c r="M37" s="44"/>
      <c r="N37" s="44"/>
      <c r="O37" s="44"/>
      <c r="P37" s="44"/>
      <c r="Q37" s="44"/>
      <c r="R37" s="44"/>
      <c r="S37" s="44"/>
      <c r="T37" s="44"/>
      <c r="U37" s="44"/>
      <c r="V37" s="44"/>
      <c r="W37" s="44"/>
      <c r="X37" s="44"/>
      <c r="Y37" s="44"/>
      <c r="Z37" s="44"/>
      <c r="AA37" s="44"/>
      <c r="AB37" s="44"/>
      <c r="AC37" s="44"/>
      <c r="AD37" s="44"/>
      <c r="AE37" s="44"/>
      <c r="AF37" s="44"/>
      <c r="AG37" s="44"/>
      <c r="AH37" s="44"/>
      <c r="AI37" s="44"/>
      <c r="AJ37" s="44"/>
      <c r="AK37" s="44"/>
      <c r="AL37" s="44"/>
      <c r="AM37" s="44"/>
      <c r="AN37" s="44"/>
      <c r="AO37" s="44"/>
      <c r="AP37" s="44"/>
      <c r="AQ37" s="44"/>
      <c r="AR37" s="44"/>
      <c r="AS37" s="44"/>
      <c r="AT37" s="44"/>
      <c r="AU37" s="44"/>
      <c r="AV37" s="44"/>
      <c r="AW37" s="44"/>
      <c r="AX37" s="44"/>
      <c r="AY37" s="44"/>
      <c r="AZ37" s="44"/>
      <c r="BA37" s="44"/>
      <c r="BB37" s="44"/>
      <c r="BC37" s="44"/>
      <c r="BD37" s="44"/>
      <c r="BE37" s="44"/>
    </row>
    <row r="38" spans="1:57" x14ac:dyDescent="0.25">
      <c r="A38">
        <f>A13</f>
        <v>0</v>
      </c>
      <c r="B38" s="84">
        <f>B13</f>
        <v>0</v>
      </c>
      <c r="C38" s="84"/>
      <c r="D38" s="84"/>
      <c r="E38" s="84"/>
      <c r="F38" s="84"/>
      <c r="G38" s="84"/>
      <c r="H38" s="84"/>
      <c r="I38" s="41">
        <f>I13</f>
        <v>0</v>
      </c>
      <c r="J38" s="41">
        <f>J13</f>
        <v>100</v>
      </c>
      <c r="K38" s="44"/>
      <c r="L38" s="44"/>
      <c r="M38" s="44"/>
      <c r="N38" s="44"/>
      <c r="O38" s="44"/>
      <c r="P38" s="44"/>
      <c r="Q38" s="44"/>
      <c r="R38" s="44"/>
      <c r="S38" s="44"/>
      <c r="T38" s="44"/>
      <c r="U38" s="44"/>
      <c r="V38" s="44"/>
      <c r="W38" s="44"/>
      <c r="X38" s="44"/>
      <c r="Y38" s="44"/>
      <c r="Z38" s="44"/>
      <c r="AA38" s="44"/>
      <c r="AB38" s="44"/>
      <c r="AC38" s="44"/>
      <c r="AD38" s="44"/>
      <c r="AE38" s="44"/>
      <c r="AF38" s="44"/>
      <c r="AG38" s="44"/>
      <c r="AH38" s="44"/>
      <c r="AI38" s="44"/>
      <c r="AJ38" s="44"/>
      <c r="AK38" s="44"/>
      <c r="AL38" s="44"/>
      <c r="AM38" s="44"/>
      <c r="AN38" s="44"/>
      <c r="AO38" s="44"/>
      <c r="AP38" s="44"/>
      <c r="AQ38" s="44"/>
      <c r="AR38" s="44"/>
      <c r="AS38" s="44"/>
      <c r="AT38" s="44"/>
      <c r="AU38" s="44"/>
      <c r="AV38" s="44"/>
      <c r="AW38" s="44"/>
      <c r="AX38" s="44"/>
      <c r="AY38" s="44"/>
      <c r="AZ38" s="44"/>
      <c r="BA38" s="44"/>
      <c r="BB38" s="44"/>
      <c r="BC38" s="44"/>
      <c r="BD38" s="44"/>
      <c r="BE38" s="44"/>
    </row>
    <row r="39" spans="1:57" x14ac:dyDescent="0.25">
      <c r="A39">
        <f t="shared" ref="A39:B44" si="3">A14</f>
        <v>0</v>
      </c>
      <c r="B39" s="84">
        <f t="shared" si="3"/>
        <v>0</v>
      </c>
      <c r="C39" s="84"/>
      <c r="D39" s="84"/>
      <c r="E39" s="84"/>
      <c r="F39" s="84"/>
      <c r="G39" s="84"/>
      <c r="H39" s="84"/>
      <c r="I39" s="41">
        <f t="shared" ref="I39:J44" si="4">I14</f>
        <v>0</v>
      </c>
      <c r="J39" s="41">
        <f t="shared" si="4"/>
        <v>0</v>
      </c>
      <c r="K39" s="44"/>
      <c r="L39" s="44"/>
      <c r="M39" s="44"/>
      <c r="N39" s="44"/>
      <c r="O39" s="44"/>
      <c r="P39" s="44"/>
      <c r="Q39" s="44"/>
      <c r="R39" s="44"/>
      <c r="S39" s="44"/>
      <c r="T39" s="44"/>
      <c r="U39" s="44"/>
      <c r="V39" s="44"/>
      <c r="W39" s="44"/>
      <c r="X39" s="44"/>
      <c r="Y39" s="44"/>
      <c r="Z39" s="44"/>
      <c r="AA39" s="44"/>
      <c r="AB39" s="44"/>
      <c r="AC39" s="44"/>
      <c r="AD39" s="44"/>
      <c r="AE39" s="44"/>
      <c r="AF39" s="44"/>
      <c r="AG39" s="44"/>
      <c r="AH39" s="44"/>
      <c r="AI39" s="44"/>
      <c r="AJ39" s="44"/>
      <c r="AK39" s="44"/>
      <c r="AL39" s="44"/>
      <c r="AM39" s="44"/>
      <c r="AN39" s="44"/>
      <c r="AO39" s="44"/>
      <c r="AP39" s="44"/>
      <c r="AQ39" s="44"/>
      <c r="AR39" s="44"/>
      <c r="AS39" s="44"/>
      <c r="AT39" s="44"/>
      <c r="AU39" s="44"/>
      <c r="AV39" s="44"/>
      <c r="AW39" s="44"/>
      <c r="AX39" s="44"/>
      <c r="AY39" s="44"/>
      <c r="AZ39" s="44"/>
      <c r="BA39" s="44"/>
      <c r="BB39" s="44"/>
      <c r="BC39" s="44"/>
      <c r="BD39" s="44"/>
      <c r="BE39" s="44"/>
    </row>
    <row r="40" spans="1:57" x14ac:dyDescent="0.25">
      <c r="A40">
        <f t="shared" si="3"/>
        <v>0</v>
      </c>
      <c r="B40" s="84">
        <f t="shared" si="3"/>
        <v>0</v>
      </c>
      <c r="C40" s="84"/>
      <c r="D40" s="84"/>
      <c r="E40" s="84"/>
      <c r="F40" s="84"/>
      <c r="G40" s="84"/>
      <c r="H40" s="84"/>
      <c r="I40" s="41">
        <f t="shared" si="4"/>
        <v>0</v>
      </c>
      <c r="J40" s="41">
        <f t="shared" si="4"/>
        <v>0</v>
      </c>
      <c r="K40" s="44"/>
      <c r="L40" s="44"/>
      <c r="M40" s="44"/>
      <c r="N40" s="44"/>
      <c r="O40" s="44"/>
      <c r="P40" s="44"/>
      <c r="Q40" s="44"/>
      <c r="R40" s="44"/>
      <c r="S40" s="44"/>
      <c r="T40" s="44"/>
      <c r="U40" s="44"/>
      <c r="V40" s="44"/>
      <c r="W40" s="44"/>
      <c r="X40" s="44"/>
      <c r="Y40" s="44"/>
      <c r="Z40" s="44"/>
      <c r="AA40" s="44"/>
      <c r="AB40" s="44"/>
      <c r="AC40" s="44"/>
      <c r="AD40" s="44"/>
      <c r="AE40" s="44"/>
      <c r="AF40" s="44"/>
      <c r="AG40" s="44"/>
      <c r="AH40" s="44"/>
      <c r="AI40" s="44"/>
      <c r="AJ40" s="44"/>
      <c r="AK40" s="44"/>
      <c r="AL40" s="44"/>
      <c r="AM40" s="44"/>
      <c r="AN40" s="44"/>
      <c r="AO40" s="44"/>
      <c r="AP40" s="44"/>
      <c r="AQ40" s="44"/>
      <c r="AR40" s="44"/>
      <c r="AS40" s="44"/>
      <c r="AT40" s="44"/>
      <c r="AU40" s="44"/>
      <c r="AV40" s="44"/>
      <c r="AW40" s="44"/>
      <c r="AX40" s="44"/>
      <c r="AY40" s="44"/>
      <c r="AZ40" s="44"/>
      <c r="BA40" s="44"/>
      <c r="BB40" s="44"/>
      <c r="BC40" s="44"/>
      <c r="BD40" s="44"/>
      <c r="BE40" s="44"/>
    </row>
    <row r="41" spans="1:57" x14ac:dyDescent="0.25">
      <c r="A41">
        <f t="shared" si="3"/>
        <v>0</v>
      </c>
      <c r="B41" s="84">
        <f t="shared" si="3"/>
        <v>0</v>
      </c>
      <c r="C41" s="84"/>
      <c r="D41" s="84"/>
      <c r="E41" s="84"/>
      <c r="F41" s="84"/>
      <c r="G41" s="84"/>
      <c r="H41" s="84"/>
      <c r="I41" s="41">
        <f t="shared" si="4"/>
        <v>0</v>
      </c>
      <c r="J41" s="41">
        <f t="shared" si="4"/>
        <v>0</v>
      </c>
      <c r="K41" s="44"/>
      <c r="L41" s="44"/>
      <c r="M41" s="44"/>
      <c r="N41" s="44"/>
      <c r="O41" s="44"/>
      <c r="P41" s="44"/>
      <c r="Q41" s="44"/>
      <c r="R41" s="44"/>
      <c r="S41" s="44"/>
      <c r="T41" s="44"/>
      <c r="U41" s="44"/>
      <c r="V41" s="44"/>
      <c r="W41" s="44"/>
      <c r="X41" s="44"/>
      <c r="Y41" s="44"/>
      <c r="Z41" s="44"/>
      <c r="AA41" s="44"/>
      <c r="AB41" s="44"/>
      <c r="AC41" s="44"/>
      <c r="AD41" s="44"/>
      <c r="AE41" s="44"/>
      <c r="AF41" s="44"/>
      <c r="AG41" s="44"/>
      <c r="AH41" s="44"/>
      <c r="AI41" s="44"/>
      <c r="AJ41" s="44"/>
      <c r="AK41" s="44"/>
      <c r="AL41" s="44"/>
      <c r="AM41" s="44"/>
      <c r="AN41" s="44"/>
      <c r="AO41" s="44"/>
      <c r="AP41" s="44"/>
      <c r="AQ41" s="44"/>
      <c r="AR41" s="44"/>
      <c r="AS41" s="44"/>
      <c r="AT41" s="44"/>
      <c r="AU41" s="44"/>
      <c r="AV41" s="44"/>
      <c r="AW41" s="44"/>
      <c r="AX41" s="44"/>
      <c r="AY41" s="44"/>
      <c r="AZ41" s="44"/>
      <c r="BA41" s="44"/>
      <c r="BB41" s="44"/>
      <c r="BC41" s="44"/>
      <c r="BD41" s="44"/>
      <c r="BE41" s="44"/>
    </row>
    <row r="42" spans="1:57" x14ac:dyDescent="0.25">
      <c r="A42">
        <f t="shared" si="3"/>
        <v>0</v>
      </c>
      <c r="B42" s="84">
        <f t="shared" si="3"/>
        <v>0</v>
      </c>
      <c r="C42" s="84"/>
      <c r="D42" s="84"/>
      <c r="E42" s="84"/>
      <c r="F42" s="84"/>
      <c r="G42" s="84"/>
      <c r="H42" s="84"/>
      <c r="I42" s="41">
        <f t="shared" si="4"/>
        <v>0</v>
      </c>
      <c r="J42" s="41">
        <f t="shared" si="4"/>
        <v>0</v>
      </c>
      <c r="K42" s="44"/>
      <c r="L42" s="44"/>
      <c r="M42" s="44"/>
      <c r="N42" s="44"/>
      <c r="O42" s="44"/>
      <c r="P42" s="44"/>
      <c r="Q42" s="44"/>
      <c r="R42" s="44"/>
      <c r="S42" s="44"/>
      <c r="T42" s="44"/>
      <c r="U42" s="44"/>
      <c r="V42" s="44"/>
      <c r="W42" s="44"/>
      <c r="X42" s="44"/>
      <c r="Y42" s="44"/>
      <c r="Z42" s="44"/>
      <c r="AA42" s="44"/>
      <c r="AB42" s="44"/>
      <c r="AC42" s="44"/>
      <c r="AD42" s="44"/>
      <c r="AE42" s="44"/>
      <c r="AF42" s="44"/>
      <c r="AG42" s="44"/>
      <c r="AH42" s="44"/>
      <c r="AI42" s="44"/>
      <c r="AJ42" s="44"/>
      <c r="AK42" s="44"/>
      <c r="AL42" s="44"/>
      <c r="AM42" s="44"/>
      <c r="AN42" s="44"/>
      <c r="AO42" s="44"/>
      <c r="AP42" s="44"/>
      <c r="AQ42" s="44"/>
      <c r="AR42" s="44"/>
      <c r="AS42" s="44"/>
      <c r="AT42" s="44"/>
      <c r="AU42" s="44"/>
      <c r="AV42" s="44"/>
      <c r="AW42" s="44"/>
      <c r="AX42" s="44"/>
      <c r="AY42" s="44"/>
      <c r="AZ42" s="44"/>
      <c r="BA42" s="44"/>
      <c r="BB42" s="44"/>
      <c r="BC42" s="44"/>
      <c r="BD42" s="44"/>
      <c r="BE42" s="44"/>
    </row>
    <row r="43" spans="1:57" x14ac:dyDescent="0.25">
      <c r="A43">
        <f t="shared" si="3"/>
        <v>0</v>
      </c>
      <c r="B43" s="84">
        <f t="shared" si="3"/>
        <v>0</v>
      </c>
      <c r="C43" s="84"/>
      <c r="D43" s="84"/>
      <c r="E43" s="84"/>
      <c r="F43" s="84"/>
      <c r="G43" s="84"/>
      <c r="H43" s="84"/>
      <c r="I43" s="41">
        <f t="shared" si="4"/>
        <v>0</v>
      </c>
      <c r="J43" s="41">
        <f t="shared" si="4"/>
        <v>0</v>
      </c>
      <c r="K43" s="44"/>
      <c r="L43" s="44"/>
      <c r="M43" s="44"/>
      <c r="N43" s="44"/>
      <c r="O43" s="44"/>
      <c r="P43" s="44"/>
      <c r="Q43" s="44"/>
      <c r="R43" s="44"/>
      <c r="S43" s="44"/>
      <c r="T43" s="44"/>
      <c r="U43" s="44"/>
      <c r="V43" s="44"/>
      <c r="W43" s="44"/>
      <c r="X43" s="44"/>
      <c r="Y43" s="44"/>
      <c r="Z43" s="44"/>
      <c r="AA43" s="44"/>
      <c r="AB43" s="44"/>
      <c r="AC43" s="44"/>
      <c r="AD43" s="44"/>
      <c r="AE43" s="44"/>
      <c r="AF43" s="44"/>
      <c r="AG43" s="44"/>
      <c r="AH43" s="44"/>
      <c r="AI43" s="44"/>
      <c r="AJ43" s="44"/>
      <c r="AK43" s="44"/>
      <c r="AL43" s="44"/>
      <c r="AM43" s="44"/>
      <c r="AN43" s="44"/>
      <c r="AO43" s="44"/>
      <c r="AP43" s="44"/>
      <c r="AQ43" s="44"/>
      <c r="AR43" s="44"/>
      <c r="AS43" s="44"/>
      <c r="AT43" s="44"/>
      <c r="AU43" s="44"/>
      <c r="AV43" s="44"/>
      <c r="AW43" s="44"/>
      <c r="AX43" s="44"/>
      <c r="AY43" s="44"/>
      <c r="AZ43" s="44"/>
      <c r="BA43" s="44"/>
      <c r="BB43" s="44"/>
      <c r="BC43" s="44"/>
      <c r="BD43" s="44"/>
      <c r="BE43" s="44"/>
    </row>
    <row r="44" spans="1:57" ht="15.75" thickBot="1" x14ac:dyDescent="0.3">
      <c r="A44">
        <f t="shared" si="3"/>
        <v>0</v>
      </c>
      <c r="B44" s="84">
        <f t="shared" si="3"/>
        <v>0</v>
      </c>
      <c r="C44" s="84"/>
      <c r="D44" s="84"/>
      <c r="E44" s="84"/>
      <c r="F44" s="84"/>
      <c r="G44" s="84"/>
      <c r="H44" s="84"/>
      <c r="I44" s="41">
        <f t="shared" si="4"/>
        <v>0</v>
      </c>
      <c r="J44" s="41">
        <f t="shared" si="4"/>
        <v>0</v>
      </c>
      <c r="K44" s="44"/>
      <c r="L44" s="44"/>
      <c r="M44" s="44"/>
      <c r="N44" s="44"/>
      <c r="O44" s="44"/>
      <c r="P44" s="44"/>
      <c r="Q44" s="44"/>
      <c r="R44" s="44"/>
      <c r="S44" s="44"/>
      <c r="T44" s="44"/>
      <c r="U44" s="44"/>
      <c r="V44" s="44"/>
      <c r="W44" s="44"/>
      <c r="X44" s="44"/>
      <c r="Y44" s="44"/>
      <c r="Z44" s="44"/>
      <c r="AA44" s="44"/>
      <c r="AB44" s="44"/>
      <c r="AC44" s="44"/>
      <c r="AD44" s="44"/>
      <c r="AE44" s="44"/>
      <c r="AF44" s="44"/>
      <c r="AG44" s="44"/>
      <c r="AH44" s="44"/>
      <c r="AI44" s="44"/>
      <c r="AJ44" s="44"/>
      <c r="AK44" s="44"/>
      <c r="AL44" s="44"/>
      <c r="AM44" s="44"/>
      <c r="AN44" s="44"/>
      <c r="AO44" s="44"/>
      <c r="AP44" s="44"/>
      <c r="AQ44" s="44"/>
      <c r="AR44" s="44"/>
      <c r="AS44" s="44"/>
      <c r="AT44" s="44"/>
      <c r="AU44" s="44"/>
      <c r="AV44" s="44"/>
      <c r="AW44" s="44"/>
      <c r="AX44" s="44"/>
      <c r="AY44" s="44"/>
      <c r="AZ44" s="44"/>
      <c r="BA44" s="44"/>
      <c r="BB44" s="44"/>
      <c r="BC44" s="44"/>
      <c r="BD44" s="44"/>
      <c r="BE44" s="44"/>
    </row>
    <row r="45" spans="1:57" ht="15.75" thickTop="1" x14ac:dyDescent="0.25">
      <c r="A45" s="94" t="s">
        <v>54</v>
      </c>
      <c r="B45" s="94"/>
      <c r="C45" s="94"/>
      <c r="D45" s="94"/>
      <c r="E45" s="94"/>
      <c r="F45" s="94"/>
      <c r="G45" s="94"/>
      <c r="H45" s="94"/>
      <c r="I45" s="94"/>
      <c r="J45" s="40">
        <f xml:space="preserve"> J20</f>
        <v>100</v>
      </c>
      <c r="K45" s="44"/>
      <c r="L45" s="44"/>
      <c r="M45" s="44"/>
      <c r="N45" s="44"/>
      <c r="O45" s="44"/>
      <c r="P45" s="44"/>
      <c r="Q45" s="44"/>
      <c r="R45" s="44"/>
      <c r="S45" s="44"/>
      <c r="T45" s="44"/>
      <c r="U45" s="44"/>
      <c r="V45" s="44"/>
      <c r="W45" s="44"/>
      <c r="X45" s="44"/>
      <c r="Y45" s="44"/>
      <c r="Z45" s="44"/>
      <c r="AA45" s="44"/>
      <c r="AB45" s="44"/>
      <c r="AC45" s="44"/>
      <c r="AD45" s="44"/>
      <c r="AE45" s="44"/>
      <c r="AF45" s="44"/>
      <c r="AG45" s="44"/>
      <c r="AH45" s="44"/>
      <c r="AI45" s="44"/>
      <c r="AJ45" s="44"/>
      <c r="AK45" s="44"/>
      <c r="AL45" s="44"/>
      <c r="AM45" s="44"/>
      <c r="AN45" s="44"/>
      <c r="AO45" s="44"/>
      <c r="AP45" s="44"/>
      <c r="AQ45" s="44"/>
      <c r="AR45" s="44"/>
      <c r="AS45" s="44"/>
      <c r="AT45" s="44"/>
      <c r="AU45" s="44"/>
      <c r="AV45" s="44"/>
      <c r="AW45" s="44"/>
      <c r="AX45" s="44"/>
      <c r="AY45" s="44"/>
      <c r="AZ45" s="44"/>
      <c r="BA45" s="44"/>
      <c r="BB45" s="44"/>
      <c r="BC45" s="44"/>
      <c r="BD45" s="44"/>
      <c r="BE45" s="44"/>
    </row>
    <row r="46" spans="1:57" ht="15" customHeight="1" x14ac:dyDescent="0.25">
      <c r="B46" s="53"/>
      <c r="C46" s="98" t="s">
        <v>69</v>
      </c>
      <c r="D46" s="99"/>
      <c r="E46" s="93"/>
      <c r="F46" s="97" t="s">
        <v>76</v>
      </c>
      <c r="G46" s="97"/>
      <c r="I46" s="9" t="s">
        <v>55</v>
      </c>
      <c r="J46" s="41">
        <f>J21</f>
        <v>6</v>
      </c>
      <c r="K46" s="44"/>
      <c r="L46" s="44"/>
      <c r="M46" s="44"/>
      <c r="N46" s="44"/>
      <c r="O46" s="44"/>
      <c r="P46" s="44"/>
      <c r="Q46" s="44"/>
      <c r="R46" s="44"/>
      <c r="S46" s="44"/>
      <c r="T46" s="44"/>
      <c r="U46" s="44"/>
      <c r="V46" s="44"/>
      <c r="W46" s="44"/>
      <c r="X46" s="44"/>
      <c r="Y46" s="44"/>
      <c r="Z46" s="44"/>
      <c r="AA46" s="44"/>
      <c r="AB46" s="44"/>
      <c r="AC46" s="44"/>
      <c r="AD46" s="44"/>
      <c r="AE46" s="44"/>
      <c r="AF46" s="44"/>
      <c r="AG46" s="44"/>
      <c r="AH46" s="44"/>
      <c r="AI46" s="44"/>
      <c r="AJ46" s="44"/>
      <c r="AK46" s="44"/>
      <c r="AL46" s="44"/>
      <c r="AM46" s="44"/>
      <c r="AN46" s="44"/>
      <c r="AO46" s="44"/>
      <c r="AP46" s="44"/>
      <c r="AQ46" s="44"/>
      <c r="AR46" s="44"/>
      <c r="AS46" s="44"/>
      <c r="AT46" s="44"/>
      <c r="AU46" s="44"/>
      <c r="AV46" s="44"/>
      <c r="AW46" s="44"/>
      <c r="AX46" s="44"/>
      <c r="AY46" s="44"/>
      <c r="AZ46" s="44"/>
      <c r="BA46" s="44"/>
      <c r="BB46" s="44"/>
      <c r="BC46" s="44"/>
      <c r="BD46" s="44"/>
      <c r="BE46" s="44"/>
    </row>
    <row r="47" spans="1:57" x14ac:dyDescent="0.25">
      <c r="B47" s="53"/>
      <c r="C47" s="99"/>
      <c r="D47" s="99"/>
      <c r="E47" s="93"/>
      <c r="F47" s="97"/>
      <c r="G47" s="97"/>
      <c r="I47" s="9"/>
      <c r="K47" s="44"/>
      <c r="L47" s="44"/>
      <c r="M47" s="44"/>
      <c r="N47" s="44"/>
      <c r="O47" s="44"/>
      <c r="P47" s="44"/>
      <c r="Q47" s="44"/>
      <c r="R47" s="44"/>
      <c r="S47" s="44"/>
      <c r="T47" s="44"/>
      <c r="U47" s="44"/>
      <c r="V47" s="44"/>
      <c r="W47" s="44"/>
      <c r="X47" s="44"/>
      <c r="Y47" s="44"/>
      <c r="Z47" s="44"/>
      <c r="AA47" s="44"/>
      <c r="AB47" s="44"/>
      <c r="AC47" s="44"/>
      <c r="AD47" s="44"/>
      <c r="AE47" s="44"/>
      <c r="AF47" s="44"/>
      <c r="AG47" s="44"/>
      <c r="AH47" s="44"/>
      <c r="AI47" s="44"/>
      <c r="AJ47" s="44"/>
      <c r="AK47" s="44"/>
      <c r="AL47" s="44"/>
      <c r="AM47" s="44"/>
      <c r="AN47" s="44"/>
      <c r="AO47" s="44"/>
      <c r="AP47" s="44"/>
      <c r="AQ47" s="44"/>
      <c r="AR47" s="44"/>
      <c r="AS47" s="44"/>
      <c r="AT47" s="44"/>
      <c r="AU47" s="44"/>
      <c r="AV47" s="44"/>
      <c r="AW47" s="44"/>
      <c r="AX47" s="44"/>
      <c r="AY47" s="44"/>
      <c r="AZ47" s="44"/>
      <c r="BA47" s="44"/>
      <c r="BB47" s="44"/>
      <c r="BC47" s="44"/>
      <c r="BD47" s="44"/>
      <c r="BE47" s="44"/>
    </row>
    <row r="48" spans="1:57" x14ac:dyDescent="0.25">
      <c r="B48" s="53"/>
      <c r="C48" s="99"/>
      <c r="D48" s="99"/>
      <c r="E48" s="93"/>
      <c r="F48" s="97"/>
      <c r="G48" s="97"/>
      <c r="I48" s="9" t="s">
        <v>68</v>
      </c>
      <c r="J48" s="41">
        <f>J23</f>
        <v>94</v>
      </c>
      <c r="K48" s="44"/>
      <c r="L48" s="44"/>
      <c r="M48" s="44"/>
      <c r="N48" s="44"/>
      <c r="O48" s="44"/>
      <c r="P48" s="44"/>
      <c r="Q48" s="44"/>
      <c r="R48" s="44"/>
      <c r="S48" s="44"/>
      <c r="T48" s="44"/>
      <c r="U48" s="44"/>
      <c r="V48" s="44"/>
      <c r="W48" s="44"/>
      <c r="X48" s="44"/>
      <c r="Y48" s="44"/>
      <c r="Z48" s="44"/>
      <c r="AA48" s="44"/>
      <c r="AB48" s="44"/>
      <c r="AC48" s="44"/>
      <c r="AD48" s="44"/>
      <c r="AE48" s="44"/>
      <c r="AF48" s="44"/>
      <c r="AG48" s="44"/>
      <c r="AH48" s="44"/>
      <c r="AI48" s="44"/>
      <c r="AJ48" s="44"/>
      <c r="AK48" s="44"/>
      <c r="AL48" s="44"/>
      <c r="AM48" s="44"/>
      <c r="AN48" s="44"/>
      <c r="AO48" s="44"/>
      <c r="AP48" s="44"/>
      <c r="AQ48" s="44"/>
      <c r="AR48" s="44"/>
      <c r="AS48" s="44"/>
      <c r="AT48" s="44"/>
      <c r="AU48" s="44"/>
      <c r="AV48" s="44"/>
      <c r="AW48" s="44"/>
      <c r="AX48" s="44"/>
      <c r="AY48" s="44"/>
      <c r="AZ48" s="44"/>
      <c r="BA48" s="44"/>
      <c r="BB48" s="44"/>
      <c r="BC48" s="44"/>
      <c r="BD48" s="44"/>
      <c r="BE48" s="44"/>
    </row>
    <row r="49" spans="1:57" x14ac:dyDescent="0.25">
      <c r="K49" s="44"/>
      <c r="L49" s="44"/>
      <c r="M49" s="44"/>
      <c r="N49" s="44"/>
      <c r="O49" s="44"/>
      <c r="P49" s="44"/>
      <c r="Q49" s="44"/>
      <c r="R49" s="44"/>
      <c r="S49" s="44"/>
      <c r="T49" s="44"/>
      <c r="U49" s="44"/>
      <c r="V49" s="44"/>
      <c r="W49" s="44"/>
      <c r="X49" s="44"/>
      <c r="Y49" s="44"/>
      <c r="Z49" s="44"/>
      <c r="AA49" s="44"/>
      <c r="AB49" s="44"/>
      <c r="AC49" s="44"/>
      <c r="AD49" s="44"/>
      <c r="AE49" s="44"/>
      <c r="AF49" s="44"/>
      <c r="AG49" s="44"/>
      <c r="AH49" s="44"/>
      <c r="AI49" s="44"/>
      <c r="AJ49" s="44"/>
      <c r="AK49" s="44"/>
      <c r="AL49" s="44"/>
      <c r="AM49" s="44"/>
      <c r="AN49" s="44"/>
      <c r="AO49" s="44"/>
      <c r="AP49" s="44"/>
      <c r="AQ49" s="44"/>
      <c r="AR49" s="44"/>
      <c r="AS49" s="44"/>
      <c r="AT49" s="44"/>
      <c r="AU49" s="44"/>
      <c r="AV49" s="44"/>
      <c r="AW49" s="44"/>
      <c r="AX49" s="44"/>
      <c r="AY49" s="44"/>
      <c r="AZ49" s="44"/>
      <c r="BA49" s="44"/>
      <c r="BB49" s="44"/>
      <c r="BC49" s="44"/>
      <c r="BD49" s="44"/>
      <c r="BE49" s="44"/>
    </row>
    <row r="50" spans="1:57" x14ac:dyDescent="0.25">
      <c r="A50" s="43"/>
      <c r="B50" s="43"/>
      <c r="C50" s="43"/>
      <c r="D50" s="43"/>
      <c r="E50" s="43"/>
      <c r="F50" s="43"/>
      <c r="G50" s="43"/>
      <c r="H50" s="43"/>
      <c r="I50" s="43"/>
      <c r="J50" s="43"/>
      <c r="K50" s="43"/>
      <c r="L50" s="43"/>
      <c r="M50" s="43"/>
      <c r="N50" s="43"/>
      <c r="O50" s="43"/>
      <c r="P50" s="43"/>
      <c r="Q50" s="43"/>
      <c r="R50" s="43"/>
      <c r="S50" s="43"/>
      <c r="T50" s="43"/>
      <c r="U50" s="43"/>
      <c r="V50" s="43"/>
      <c r="W50" s="43"/>
      <c r="X50" s="43"/>
      <c r="Y50" s="43"/>
      <c r="Z50" s="43"/>
      <c r="AA50" s="43"/>
      <c r="AB50" s="43"/>
      <c r="AC50" s="43"/>
      <c r="AD50" s="43"/>
      <c r="AE50" s="43"/>
      <c r="AF50" s="43"/>
      <c r="AG50" s="43"/>
      <c r="AH50" s="43"/>
      <c r="AI50" s="43"/>
      <c r="AJ50" s="43"/>
      <c r="AK50" s="43"/>
      <c r="AL50" s="44"/>
      <c r="AM50" s="44"/>
      <c r="AN50" s="44"/>
      <c r="AO50" s="44"/>
      <c r="AP50" s="44"/>
      <c r="AQ50" s="44"/>
      <c r="AR50" s="44"/>
      <c r="AS50" s="44"/>
      <c r="AT50" s="44"/>
      <c r="AU50" s="44"/>
      <c r="AV50" s="44"/>
      <c r="AW50" s="44"/>
      <c r="AX50" s="44"/>
      <c r="AY50" s="44"/>
      <c r="AZ50" s="44"/>
      <c r="BA50" s="44"/>
      <c r="BB50" s="44"/>
      <c r="BC50" s="44"/>
      <c r="BD50" s="44"/>
      <c r="BE50" s="44"/>
    </row>
    <row r="51" spans="1:57" x14ac:dyDescent="0.25">
      <c r="A51" s="43"/>
      <c r="B51" s="43"/>
      <c r="C51" s="43"/>
      <c r="D51" s="43"/>
      <c r="E51" s="43"/>
      <c r="F51" s="43"/>
      <c r="G51" s="43"/>
      <c r="H51" s="43"/>
      <c r="I51" s="43"/>
      <c r="J51" s="43"/>
      <c r="K51" s="43"/>
      <c r="L51" s="43"/>
      <c r="M51" s="43"/>
      <c r="N51" s="43"/>
      <c r="O51" s="43"/>
      <c r="P51" s="43"/>
      <c r="Q51" s="43"/>
      <c r="R51" s="43"/>
      <c r="S51" s="43"/>
      <c r="T51" s="43"/>
      <c r="U51" s="43"/>
      <c r="V51" s="43"/>
      <c r="W51" s="43"/>
      <c r="X51" s="43"/>
      <c r="Y51" s="43"/>
      <c r="Z51" s="43"/>
      <c r="AA51" s="43"/>
      <c r="AB51" s="43"/>
      <c r="AC51" s="43"/>
      <c r="AD51" s="43"/>
      <c r="AE51" s="43"/>
      <c r="AF51" s="43"/>
      <c r="AG51" s="43"/>
      <c r="AH51" s="43"/>
      <c r="AI51" s="43"/>
      <c r="AJ51" s="43"/>
      <c r="AK51" s="43"/>
      <c r="AL51" s="44"/>
      <c r="AM51" s="44"/>
      <c r="AN51" s="44"/>
      <c r="AO51" s="44"/>
      <c r="AP51" s="44"/>
      <c r="AQ51" s="44"/>
      <c r="AR51" s="44"/>
      <c r="AS51" s="44"/>
      <c r="AT51" s="44"/>
      <c r="AU51" s="44"/>
      <c r="AV51" s="44"/>
      <c r="AW51" s="44"/>
      <c r="AX51" s="44"/>
      <c r="AY51" s="44"/>
      <c r="AZ51" s="44"/>
      <c r="BA51" s="44"/>
      <c r="BB51" s="44"/>
      <c r="BC51" s="44"/>
      <c r="BD51" s="44"/>
      <c r="BE51" s="44"/>
    </row>
    <row r="52" spans="1:57" x14ac:dyDescent="0.25">
      <c r="A52" s="43"/>
      <c r="B52" s="43"/>
      <c r="C52" s="43"/>
      <c r="D52" s="43"/>
      <c r="E52" s="43"/>
      <c r="F52" s="43"/>
      <c r="G52" s="43"/>
      <c r="H52" s="43"/>
      <c r="I52" s="43"/>
      <c r="J52" s="43"/>
      <c r="K52" s="43"/>
      <c r="L52" s="43"/>
      <c r="M52" s="43"/>
      <c r="N52" s="43"/>
      <c r="O52" s="43"/>
      <c r="P52" s="43"/>
      <c r="Q52" s="43"/>
      <c r="R52" s="43"/>
      <c r="S52" s="43"/>
      <c r="T52" s="43"/>
      <c r="U52" s="43"/>
      <c r="V52" s="43"/>
      <c r="W52" s="43"/>
      <c r="X52" s="43"/>
      <c r="Y52" s="43"/>
      <c r="Z52" s="43"/>
      <c r="AA52" s="43"/>
      <c r="AB52" s="43"/>
      <c r="AC52" s="43"/>
      <c r="AD52" s="43"/>
      <c r="AE52" s="43"/>
      <c r="AF52" s="43"/>
      <c r="AG52" s="43"/>
      <c r="AH52" s="43"/>
      <c r="AI52" s="43"/>
      <c r="AJ52" s="43"/>
      <c r="AK52" s="43"/>
      <c r="AL52" s="44"/>
      <c r="AM52" s="44"/>
      <c r="AN52" s="44"/>
      <c r="AO52" s="44"/>
      <c r="AP52" s="44"/>
      <c r="AQ52" s="44"/>
      <c r="AR52" s="44"/>
      <c r="AS52" s="44"/>
      <c r="AT52" s="44"/>
      <c r="AU52" s="44"/>
      <c r="AV52" s="44"/>
      <c r="AW52" s="44"/>
      <c r="AX52" s="44"/>
      <c r="AY52" s="44"/>
      <c r="AZ52" s="44"/>
      <c r="BA52" s="44"/>
      <c r="BB52" s="44"/>
      <c r="BC52" s="44"/>
      <c r="BD52" s="44"/>
      <c r="BE52" s="44"/>
    </row>
    <row r="53" spans="1:57" x14ac:dyDescent="0.25">
      <c r="A53" s="43"/>
      <c r="B53" s="43"/>
      <c r="C53" s="43"/>
      <c r="D53" s="43"/>
      <c r="E53" s="43"/>
      <c r="F53" s="43"/>
      <c r="G53" s="43"/>
      <c r="H53" s="43"/>
      <c r="I53" s="43"/>
      <c r="J53" s="43"/>
      <c r="K53" s="43"/>
      <c r="L53" s="43"/>
      <c r="M53" s="43"/>
      <c r="N53" s="43"/>
      <c r="O53" s="43"/>
      <c r="P53" s="43"/>
      <c r="Q53" s="43"/>
      <c r="R53" s="43"/>
      <c r="S53" s="43"/>
      <c r="T53" s="43"/>
      <c r="U53" s="43"/>
      <c r="V53" s="43"/>
      <c r="W53" s="43"/>
      <c r="X53" s="43"/>
      <c r="Y53" s="43"/>
      <c r="Z53" s="43"/>
      <c r="AA53" s="43"/>
      <c r="AB53" s="43"/>
      <c r="AC53" s="43"/>
      <c r="AD53" s="43"/>
      <c r="AE53" s="43"/>
      <c r="AF53" s="43"/>
      <c r="AG53" s="43"/>
      <c r="AH53" s="43"/>
      <c r="AI53" s="43"/>
      <c r="AJ53" s="43"/>
      <c r="AK53" s="43"/>
    </row>
    <row r="54" spans="1:57" x14ac:dyDescent="0.25">
      <c r="A54" s="43"/>
      <c r="B54" s="43"/>
      <c r="C54" s="43"/>
      <c r="D54" s="43"/>
      <c r="E54" s="43"/>
      <c r="F54" s="43"/>
      <c r="G54" s="43"/>
      <c r="H54" s="43"/>
      <c r="I54" s="43"/>
      <c r="J54" s="43"/>
      <c r="K54" s="43"/>
      <c r="L54" s="43"/>
      <c r="M54" s="43"/>
      <c r="N54" s="43"/>
      <c r="O54" s="43"/>
      <c r="P54" s="43"/>
      <c r="Q54" s="43"/>
      <c r="R54" s="43"/>
      <c r="S54" s="43"/>
      <c r="T54" s="43"/>
      <c r="U54" s="43"/>
      <c r="V54" s="43"/>
      <c r="W54" s="43"/>
      <c r="X54" s="43"/>
      <c r="Y54" s="43"/>
      <c r="Z54" s="43"/>
      <c r="AA54" s="43"/>
      <c r="AB54" s="43"/>
      <c r="AC54" s="43"/>
      <c r="AD54" s="43"/>
      <c r="AE54" s="43"/>
      <c r="AF54" s="43"/>
      <c r="AG54" s="43"/>
      <c r="AH54" s="43"/>
      <c r="AI54" s="43"/>
      <c r="AJ54" s="43"/>
      <c r="AK54" s="43"/>
    </row>
    <row r="55" spans="1:57" x14ac:dyDescent="0.25">
      <c r="A55" s="43"/>
      <c r="B55" s="43"/>
      <c r="C55" s="43"/>
      <c r="D55" s="43"/>
      <c r="E55" s="43"/>
      <c r="F55" s="43"/>
      <c r="G55" s="43"/>
      <c r="H55" s="43"/>
      <c r="I55" s="43"/>
      <c r="J55" s="43"/>
      <c r="K55" s="43"/>
      <c r="L55" s="43"/>
      <c r="M55" s="43"/>
      <c r="N55" s="43"/>
      <c r="O55" s="43"/>
      <c r="P55" s="43"/>
      <c r="Q55" s="43"/>
      <c r="R55" s="43"/>
      <c r="S55" s="43"/>
      <c r="T55" s="43"/>
      <c r="U55" s="43"/>
      <c r="V55" s="43"/>
      <c r="W55" s="43"/>
      <c r="X55" s="43"/>
      <c r="Y55" s="43"/>
      <c r="Z55" s="43"/>
      <c r="AA55" s="43"/>
      <c r="AB55" s="43"/>
      <c r="AC55" s="43"/>
      <c r="AD55" s="43"/>
      <c r="AE55" s="43"/>
      <c r="AF55" s="43"/>
      <c r="AG55" s="43"/>
      <c r="AH55" s="43"/>
      <c r="AI55" s="43"/>
      <c r="AJ55" s="43"/>
      <c r="AK55" s="43"/>
    </row>
    <row r="56" spans="1:57" x14ac:dyDescent="0.25">
      <c r="A56" s="43"/>
      <c r="B56" s="43"/>
      <c r="C56" s="43"/>
      <c r="D56" s="43"/>
      <c r="E56" s="43"/>
      <c r="F56" s="43"/>
      <c r="G56" s="43"/>
      <c r="H56" s="43"/>
      <c r="I56" s="43"/>
      <c r="J56" s="43"/>
      <c r="K56" s="43"/>
      <c r="L56" s="43"/>
      <c r="M56" s="43"/>
      <c r="N56" s="43"/>
      <c r="O56" s="43"/>
      <c r="P56" s="43"/>
      <c r="Q56" s="43"/>
      <c r="R56" s="43"/>
      <c r="S56" s="43"/>
      <c r="T56" s="43"/>
      <c r="U56" s="43"/>
      <c r="V56" s="43"/>
      <c r="W56" s="43"/>
      <c r="X56" s="43"/>
      <c r="Y56" s="43"/>
      <c r="Z56" s="43"/>
      <c r="AA56" s="43"/>
      <c r="AB56" s="43"/>
      <c r="AC56" s="43"/>
      <c r="AD56" s="43"/>
      <c r="AE56" s="43"/>
      <c r="AF56" s="43"/>
      <c r="AG56" s="43"/>
      <c r="AH56" s="43"/>
      <c r="AI56" s="43"/>
      <c r="AJ56" s="43"/>
      <c r="AK56" s="43"/>
    </row>
    <row r="57" spans="1:57" x14ac:dyDescent="0.25">
      <c r="A57" s="43"/>
      <c r="B57" s="43"/>
      <c r="C57" s="43"/>
      <c r="D57" s="43"/>
      <c r="E57" s="43"/>
      <c r="F57" s="43"/>
      <c r="G57" s="43"/>
      <c r="H57" s="43"/>
      <c r="I57" s="43"/>
      <c r="J57" s="43"/>
      <c r="K57" s="43"/>
      <c r="L57" s="43"/>
      <c r="M57" s="43"/>
      <c r="N57" s="43"/>
      <c r="O57" s="43"/>
      <c r="P57" s="43"/>
      <c r="Q57" s="43"/>
      <c r="R57" s="43"/>
      <c r="S57" s="43"/>
      <c r="T57" s="43"/>
      <c r="U57" s="43"/>
      <c r="V57" s="43"/>
      <c r="W57" s="43"/>
      <c r="X57" s="43"/>
      <c r="Y57" s="43"/>
      <c r="Z57" s="43"/>
      <c r="AA57" s="43"/>
      <c r="AB57" s="43"/>
      <c r="AC57" s="43"/>
      <c r="AD57" s="43"/>
      <c r="AE57" s="43"/>
      <c r="AF57" s="43"/>
      <c r="AG57" s="43"/>
      <c r="AH57" s="43"/>
      <c r="AI57" s="43"/>
      <c r="AJ57" s="43"/>
      <c r="AK57" s="43"/>
    </row>
    <row r="58" spans="1:57" x14ac:dyDescent="0.25">
      <c r="A58" s="43"/>
      <c r="B58" s="43"/>
      <c r="C58" s="43"/>
      <c r="D58" s="43"/>
      <c r="E58" s="43"/>
      <c r="F58" s="43"/>
      <c r="G58" s="43"/>
      <c r="H58" s="43"/>
      <c r="I58" s="43"/>
      <c r="J58" s="43"/>
      <c r="K58" s="43"/>
      <c r="L58" s="43"/>
      <c r="M58" s="43"/>
      <c r="N58" s="43"/>
      <c r="O58" s="43"/>
      <c r="P58" s="43"/>
      <c r="Q58" s="43"/>
      <c r="R58" s="43"/>
      <c r="S58" s="43"/>
      <c r="T58" s="43"/>
      <c r="U58" s="43"/>
      <c r="V58" s="43"/>
      <c r="W58" s="43"/>
      <c r="X58" s="43"/>
      <c r="Y58" s="43"/>
      <c r="Z58" s="43"/>
      <c r="AA58" s="43"/>
      <c r="AB58" s="43"/>
      <c r="AC58" s="43"/>
      <c r="AD58" s="43"/>
      <c r="AE58" s="43"/>
      <c r="AF58" s="43"/>
      <c r="AG58" s="43"/>
      <c r="AH58" s="43"/>
      <c r="AI58" s="43"/>
      <c r="AJ58" s="43"/>
      <c r="AK58" s="43"/>
    </row>
    <row r="59" spans="1:57" x14ac:dyDescent="0.25">
      <c r="A59" s="43"/>
      <c r="B59" s="43"/>
      <c r="C59" s="43"/>
      <c r="D59" s="43"/>
      <c r="E59" s="43"/>
      <c r="F59" s="43"/>
      <c r="G59" s="43"/>
      <c r="H59" s="43"/>
      <c r="I59" s="43"/>
      <c r="J59" s="43"/>
      <c r="K59" s="43"/>
      <c r="L59" s="43"/>
      <c r="M59" s="43"/>
      <c r="N59" s="43"/>
      <c r="O59" s="43"/>
      <c r="P59" s="43"/>
      <c r="Q59" s="43"/>
      <c r="R59" s="43"/>
      <c r="S59" s="43"/>
      <c r="T59" s="43"/>
      <c r="U59" s="43"/>
      <c r="V59" s="43"/>
      <c r="W59" s="43"/>
      <c r="X59" s="43"/>
      <c r="Y59" s="43"/>
      <c r="Z59" s="43"/>
      <c r="AA59" s="43"/>
      <c r="AB59" s="43"/>
      <c r="AC59" s="43"/>
      <c r="AD59" s="43"/>
      <c r="AE59" s="43"/>
      <c r="AF59" s="43"/>
      <c r="AG59" s="43"/>
      <c r="AH59" s="43"/>
      <c r="AI59" s="43"/>
      <c r="AJ59" s="43"/>
      <c r="AK59" s="43"/>
    </row>
    <row r="60" spans="1:57" x14ac:dyDescent="0.25">
      <c r="A60" s="43"/>
      <c r="B60" s="43"/>
      <c r="C60" s="43"/>
      <c r="D60" s="43"/>
      <c r="E60" s="43"/>
      <c r="F60" s="43"/>
      <c r="G60" s="43"/>
      <c r="H60" s="43"/>
      <c r="I60" s="43"/>
      <c r="J60" s="43"/>
      <c r="K60" s="43"/>
      <c r="L60" s="43"/>
      <c r="M60" s="43"/>
      <c r="N60" s="43"/>
      <c r="O60" s="43"/>
      <c r="P60" s="43"/>
      <c r="Q60" s="43"/>
      <c r="R60" s="43"/>
      <c r="S60" s="43"/>
      <c r="T60" s="43"/>
      <c r="U60" s="43"/>
      <c r="V60" s="43"/>
      <c r="W60" s="43"/>
      <c r="X60" s="43"/>
      <c r="Y60" s="43"/>
      <c r="Z60" s="43"/>
      <c r="AA60" s="43"/>
      <c r="AB60" s="43"/>
      <c r="AC60" s="43"/>
      <c r="AD60" s="43"/>
      <c r="AE60" s="43"/>
      <c r="AF60" s="43"/>
      <c r="AG60" s="43"/>
      <c r="AH60" s="43"/>
      <c r="AI60" s="43"/>
      <c r="AJ60" s="43"/>
      <c r="AK60" s="43"/>
    </row>
    <row r="61" spans="1:57" x14ac:dyDescent="0.25">
      <c r="A61" s="43"/>
      <c r="B61" s="43"/>
      <c r="C61" s="43"/>
      <c r="D61" s="43"/>
      <c r="E61" s="43"/>
      <c r="F61" s="43"/>
      <c r="G61" s="43"/>
      <c r="H61" s="43"/>
      <c r="I61" s="43"/>
      <c r="J61" s="43"/>
      <c r="K61" s="43"/>
      <c r="L61" s="43"/>
      <c r="M61" s="43"/>
      <c r="N61" s="43"/>
      <c r="O61" s="43"/>
      <c r="P61" s="43"/>
      <c r="Q61" s="43"/>
      <c r="R61" s="43"/>
      <c r="S61" s="43"/>
      <c r="T61" s="43"/>
      <c r="U61" s="43"/>
      <c r="V61" s="43"/>
      <c r="W61" s="43"/>
      <c r="X61" s="43"/>
      <c r="Y61" s="43"/>
      <c r="Z61" s="43"/>
      <c r="AA61" s="43"/>
      <c r="AB61" s="43"/>
      <c r="AC61" s="43"/>
      <c r="AD61" s="43"/>
      <c r="AE61" s="43"/>
      <c r="AF61" s="43"/>
      <c r="AG61" s="43"/>
      <c r="AH61" s="43"/>
      <c r="AI61" s="43"/>
      <c r="AJ61" s="43"/>
      <c r="AK61" s="43"/>
    </row>
    <row r="62" spans="1:57" x14ac:dyDescent="0.25">
      <c r="A62" s="43"/>
      <c r="B62" s="43"/>
      <c r="C62" s="43"/>
      <c r="D62" s="43"/>
      <c r="E62" s="43"/>
      <c r="F62" s="43"/>
      <c r="G62" s="43"/>
      <c r="H62" s="43"/>
      <c r="I62" s="43"/>
      <c r="J62" s="43"/>
      <c r="K62" s="43"/>
      <c r="L62" s="43"/>
      <c r="M62" s="43"/>
      <c r="N62" s="43"/>
      <c r="O62" s="43"/>
      <c r="P62" s="43"/>
      <c r="Q62" s="43"/>
      <c r="R62" s="43"/>
      <c r="S62" s="43"/>
      <c r="T62" s="43"/>
      <c r="U62" s="43"/>
      <c r="V62" s="43"/>
      <c r="W62" s="43"/>
      <c r="X62" s="43"/>
      <c r="Y62" s="43"/>
      <c r="Z62" s="43"/>
      <c r="AA62" s="43"/>
      <c r="AB62" s="43"/>
      <c r="AC62" s="43"/>
      <c r="AD62" s="43"/>
      <c r="AE62" s="43"/>
      <c r="AF62" s="43"/>
      <c r="AG62" s="43"/>
      <c r="AH62" s="43"/>
      <c r="AI62" s="43"/>
      <c r="AJ62" s="43"/>
      <c r="AK62" s="43"/>
    </row>
    <row r="63" spans="1:57" x14ac:dyDescent="0.25">
      <c r="A63" s="43"/>
      <c r="B63" s="43"/>
      <c r="C63" s="43"/>
      <c r="D63" s="43"/>
      <c r="E63" s="43"/>
      <c r="F63" s="43"/>
      <c r="G63" s="43"/>
      <c r="H63" s="43"/>
      <c r="I63" s="43"/>
      <c r="J63" s="43"/>
      <c r="K63" s="43"/>
      <c r="L63" s="43"/>
      <c r="M63" s="43"/>
      <c r="N63" s="43"/>
      <c r="O63" s="43"/>
      <c r="P63" s="43"/>
      <c r="Q63" s="43"/>
      <c r="R63" s="43"/>
      <c r="S63" s="43"/>
      <c r="T63" s="43"/>
      <c r="U63" s="43"/>
      <c r="V63" s="43"/>
      <c r="W63" s="43"/>
      <c r="X63" s="43"/>
      <c r="Y63" s="43"/>
      <c r="Z63" s="43"/>
      <c r="AA63" s="43"/>
      <c r="AB63" s="43"/>
      <c r="AC63" s="43"/>
      <c r="AD63" s="43"/>
      <c r="AE63" s="43"/>
      <c r="AF63" s="43"/>
      <c r="AG63" s="43"/>
      <c r="AH63" s="43"/>
      <c r="AI63" s="43"/>
      <c r="AJ63" s="43"/>
      <c r="AK63" s="43"/>
    </row>
    <row r="64" spans="1:57" x14ac:dyDescent="0.25">
      <c r="A64" s="43"/>
      <c r="B64" s="43"/>
      <c r="C64" s="43"/>
      <c r="D64" s="43"/>
      <c r="E64" s="43"/>
      <c r="F64" s="43"/>
      <c r="G64" s="43"/>
      <c r="H64" s="43"/>
      <c r="I64" s="43"/>
      <c r="J64" s="43"/>
      <c r="K64" s="43"/>
      <c r="L64" s="43"/>
      <c r="M64" s="43"/>
      <c r="N64" s="43"/>
      <c r="O64" s="43"/>
      <c r="P64" s="43"/>
      <c r="Q64" s="43"/>
      <c r="R64" s="43"/>
      <c r="S64" s="43"/>
      <c r="T64" s="43"/>
      <c r="U64" s="43"/>
      <c r="V64" s="43"/>
      <c r="W64" s="43"/>
      <c r="X64" s="43"/>
      <c r="Y64" s="43"/>
      <c r="Z64" s="43"/>
      <c r="AA64" s="43"/>
      <c r="AB64" s="43"/>
      <c r="AC64" s="43"/>
      <c r="AD64" s="43"/>
      <c r="AE64" s="43"/>
      <c r="AF64" s="43"/>
      <c r="AG64" s="43"/>
      <c r="AH64" s="43"/>
      <c r="AI64" s="43"/>
      <c r="AJ64" s="43"/>
      <c r="AK64" s="43"/>
    </row>
    <row r="65" spans="1:37" x14ac:dyDescent="0.25">
      <c r="A65" s="43"/>
      <c r="B65" s="43"/>
      <c r="C65" s="43"/>
      <c r="D65" s="43"/>
      <c r="E65" s="43"/>
      <c r="F65" s="43"/>
      <c r="G65" s="43"/>
      <c r="H65" s="43"/>
      <c r="I65" s="43"/>
      <c r="J65" s="43"/>
      <c r="K65" s="43"/>
      <c r="L65" s="43"/>
      <c r="M65" s="43"/>
      <c r="N65" s="43"/>
      <c r="O65" s="43"/>
      <c r="P65" s="43"/>
      <c r="Q65" s="43"/>
      <c r="R65" s="43"/>
      <c r="S65" s="43"/>
      <c r="T65" s="43"/>
      <c r="U65" s="43"/>
      <c r="V65" s="43"/>
      <c r="W65" s="43"/>
      <c r="X65" s="43"/>
      <c r="Y65" s="43"/>
      <c r="Z65" s="43"/>
      <c r="AA65" s="43"/>
      <c r="AB65" s="43"/>
      <c r="AC65" s="43"/>
      <c r="AD65" s="43"/>
      <c r="AE65" s="43"/>
      <c r="AF65" s="43"/>
      <c r="AG65" s="43"/>
      <c r="AH65" s="43"/>
      <c r="AI65" s="43"/>
      <c r="AJ65" s="43"/>
      <c r="AK65" s="43"/>
    </row>
    <row r="66" spans="1:37" x14ac:dyDescent="0.25">
      <c r="A66" s="43"/>
      <c r="B66" s="43"/>
      <c r="C66" s="43"/>
      <c r="D66" s="43"/>
      <c r="E66" s="43"/>
      <c r="F66" s="43"/>
      <c r="G66" s="43"/>
      <c r="H66" s="43"/>
      <c r="I66" s="43"/>
      <c r="J66" s="43"/>
      <c r="K66" s="43"/>
      <c r="L66" s="43"/>
      <c r="M66" s="43"/>
      <c r="N66" s="43"/>
      <c r="O66" s="43"/>
      <c r="P66" s="43"/>
      <c r="Q66" s="43"/>
      <c r="R66" s="43"/>
      <c r="S66" s="43"/>
      <c r="T66" s="43"/>
      <c r="U66" s="43"/>
      <c r="V66" s="43"/>
      <c r="W66" s="43"/>
      <c r="X66" s="43"/>
      <c r="Y66" s="43"/>
      <c r="Z66" s="43"/>
      <c r="AA66" s="43"/>
      <c r="AB66" s="43"/>
      <c r="AC66" s="43"/>
      <c r="AD66" s="43"/>
      <c r="AE66" s="43"/>
      <c r="AF66" s="43"/>
      <c r="AG66" s="43"/>
      <c r="AH66" s="43"/>
      <c r="AI66" s="43"/>
      <c r="AJ66" s="43"/>
      <c r="AK66" s="43"/>
    </row>
    <row r="67" spans="1:37" x14ac:dyDescent="0.25">
      <c r="A67" s="43"/>
      <c r="B67" s="43"/>
      <c r="C67" s="43"/>
      <c r="D67" s="43"/>
      <c r="E67" s="43"/>
      <c r="F67" s="43"/>
      <c r="G67" s="43"/>
      <c r="H67" s="43"/>
      <c r="I67" s="43"/>
      <c r="J67" s="43"/>
      <c r="K67" s="43"/>
      <c r="L67" s="43"/>
      <c r="M67" s="43"/>
      <c r="N67" s="43"/>
      <c r="O67" s="43"/>
      <c r="P67" s="43"/>
      <c r="Q67" s="43"/>
      <c r="R67" s="43"/>
      <c r="S67" s="43"/>
      <c r="T67" s="43"/>
      <c r="U67" s="43"/>
      <c r="V67" s="43"/>
      <c r="W67" s="43"/>
      <c r="X67" s="43"/>
      <c r="Y67" s="43"/>
      <c r="Z67" s="43"/>
      <c r="AA67" s="43"/>
      <c r="AB67" s="43"/>
      <c r="AC67" s="43"/>
      <c r="AD67" s="43"/>
      <c r="AE67" s="43"/>
      <c r="AF67" s="43"/>
      <c r="AG67" s="43"/>
      <c r="AH67" s="43"/>
      <c r="AI67" s="43"/>
      <c r="AJ67" s="43"/>
      <c r="AK67" s="43"/>
    </row>
    <row r="68" spans="1:37" x14ac:dyDescent="0.25">
      <c r="A68" s="43"/>
      <c r="B68" s="43"/>
      <c r="C68" s="43"/>
      <c r="D68" s="43"/>
      <c r="E68" s="43"/>
      <c r="F68" s="43"/>
      <c r="G68" s="43"/>
      <c r="H68" s="43"/>
      <c r="I68" s="43"/>
      <c r="J68" s="43"/>
      <c r="K68" s="43"/>
      <c r="L68" s="43"/>
      <c r="M68" s="43"/>
      <c r="N68" s="43"/>
      <c r="O68" s="43"/>
      <c r="P68" s="43"/>
      <c r="Q68" s="43"/>
      <c r="R68" s="43"/>
      <c r="S68" s="43"/>
      <c r="T68" s="43"/>
      <c r="U68" s="43"/>
      <c r="V68" s="43"/>
      <c r="W68" s="43"/>
      <c r="X68" s="43"/>
      <c r="Y68" s="43"/>
      <c r="Z68" s="43"/>
      <c r="AA68" s="43"/>
      <c r="AB68" s="43"/>
      <c r="AC68" s="43"/>
      <c r="AD68" s="43"/>
      <c r="AE68" s="43"/>
      <c r="AF68" s="43"/>
      <c r="AG68" s="43"/>
      <c r="AH68" s="43"/>
      <c r="AI68" s="43"/>
      <c r="AJ68" s="43"/>
      <c r="AK68" s="43"/>
    </row>
    <row r="69" spans="1:37" x14ac:dyDescent="0.25">
      <c r="A69" s="43"/>
      <c r="B69" s="43"/>
      <c r="C69" s="43"/>
      <c r="D69" s="43"/>
      <c r="E69" s="43"/>
      <c r="F69" s="43"/>
      <c r="G69" s="43"/>
      <c r="H69" s="43"/>
      <c r="I69" s="43"/>
      <c r="J69" s="43"/>
      <c r="K69" s="43"/>
      <c r="L69" s="43"/>
      <c r="M69" s="43"/>
      <c r="N69" s="43"/>
      <c r="O69" s="43"/>
      <c r="P69" s="43"/>
      <c r="Q69" s="43"/>
      <c r="R69" s="43"/>
      <c r="S69" s="43"/>
      <c r="T69" s="43"/>
      <c r="U69" s="43"/>
      <c r="V69" s="43"/>
      <c r="W69" s="43"/>
      <c r="X69" s="43"/>
      <c r="Y69" s="43"/>
      <c r="Z69" s="43"/>
      <c r="AA69" s="43"/>
      <c r="AB69" s="43"/>
      <c r="AC69" s="43"/>
      <c r="AD69" s="43"/>
      <c r="AE69" s="43"/>
      <c r="AF69" s="43"/>
      <c r="AG69" s="43"/>
      <c r="AH69" s="43"/>
      <c r="AI69" s="43"/>
      <c r="AJ69" s="43"/>
      <c r="AK69" s="43"/>
    </row>
    <row r="70" spans="1:37" x14ac:dyDescent="0.25">
      <c r="A70" s="43"/>
      <c r="B70" s="43"/>
      <c r="C70" s="43"/>
      <c r="D70" s="43"/>
      <c r="E70" s="43"/>
      <c r="F70" s="43"/>
      <c r="G70" s="43"/>
      <c r="H70" s="43"/>
      <c r="I70" s="43"/>
      <c r="J70" s="43"/>
      <c r="K70" s="43"/>
      <c r="L70" s="43"/>
      <c r="M70" s="43"/>
      <c r="N70" s="43"/>
      <c r="O70" s="43"/>
      <c r="P70" s="43"/>
      <c r="Q70" s="43"/>
      <c r="R70" s="43"/>
      <c r="S70" s="43"/>
      <c r="T70" s="43"/>
      <c r="U70" s="43"/>
      <c r="V70" s="43"/>
      <c r="W70" s="43"/>
      <c r="X70" s="43"/>
      <c r="Y70" s="43"/>
      <c r="Z70" s="43"/>
      <c r="AA70" s="43"/>
      <c r="AB70" s="43"/>
      <c r="AC70" s="43"/>
      <c r="AD70" s="43"/>
      <c r="AE70" s="43"/>
      <c r="AF70" s="43"/>
      <c r="AG70" s="43"/>
      <c r="AH70" s="43"/>
      <c r="AI70" s="43"/>
      <c r="AJ70" s="43"/>
      <c r="AK70" s="43"/>
    </row>
    <row r="71" spans="1:37" x14ac:dyDescent="0.25">
      <c r="A71" s="43"/>
      <c r="B71" s="43"/>
      <c r="C71" s="43"/>
      <c r="D71" s="43"/>
      <c r="E71" s="43"/>
      <c r="F71" s="43"/>
      <c r="G71" s="43"/>
      <c r="H71" s="43"/>
      <c r="I71" s="43"/>
      <c r="J71" s="43"/>
      <c r="K71" s="43"/>
      <c r="L71" s="43"/>
      <c r="M71" s="43"/>
      <c r="N71" s="43"/>
      <c r="O71" s="43"/>
      <c r="P71" s="43"/>
      <c r="Q71" s="43"/>
      <c r="R71" s="43"/>
      <c r="S71" s="43"/>
      <c r="T71" s="43"/>
      <c r="U71" s="43"/>
      <c r="V71" s="43"/>
      <c r="W71" s="43"/>
      <c r="X71" s="43"/>
      <c r="Y71" s="43"/>
      <c r="Z71" s="43"/>
      <c r="AA71" s="43"/>
      <c r="AB71" s="43"/>
      <c r="AC71" s="43"/>
      <c r="AD71" s="43"/>
      <c r="AE71" s="43"/>
      <c r="AF71" s="43"/>
      <c r="AG71" s="43"/>
      <c r="AH71" s="43"/>
      <c r="AI71" s="43"/>
      <c r="AJ71" s="43"/>
      <c r="AK71" s="43"/>
    </row>
    <row r="72" spans="1:37" x14ac:dyDescent="0.25">
      <c r="A72" s="43"/>
      <c r="B72" s="43"/>
      <c r="C72" s="43"/>
      <c r="D72" s="43"/>
      <c r="E72" s="43"/>
      <c r="F72" s="43"/>
      <c r="G72" s="43"/>
      <c r="H72" s="43"/>
      <c r="I72" s="43"/>
      <c r="J72" s="43"/>
      <c r="K72" s="43"/>
      <c r="L72" s="43"/>
      <c r="M72" s="43"/>
      <c r="N72" s="43"/>
      <c r="O72" s="43"/>
      <c r="P72" s="43"/>
      <c r="Q72" s="43"/>
      <c r="R72" s="43"/>
      <c r="S72" s="43"/>
      <c r="T72" s="43"/>
      <c r="U72" s="43"/>
      <c r="V72" s="43"/>
      <c r="W72" s="43"/>
      <c r="X72" s="43"/>
      <c r="Y72" s="43"/>
      <c r="Z72" s="43"/>
      <c r="AA72" s="43"/>
      <c r="AB72" s="43"/>
      <c r="AC72" s="43"/>
      <c r="AD72" s="43"/>
      <c r="AE72" s="43"/>
      <c r="AF72" s="43"/>
      <c r="AG72" s="43"/>
      <c r="AH72" s="43"/>
      <c r="AI72" s="43"/>
      <c r="AJ72" s="43"/>
      <c r="AK72" s="43"/>
    </row>
    <row r="73" spans="1:37" x14ac:dyDescent="0.25">
      <c r="A73" s="43"/>
      <c r="B73" s="43"/>
      <c r="C73" s="43"/>
      <c r="D73" s="43"/>
      <c r="E73" s="43"/>
      <c r="F73" s="43"/>
      <c r="G73" s="43"/>
      <c r="H73" s="43"/>
      <c r="I73" s="43"/>
      <c r="J73" s="43"/>
      <c r="K73" s="43"/>
      <c r="L73" s="43"/>
      <c r="M73" s="43"/>
      <c r="N73" s="43"/>
      <c r="O73" s="43"/>
      <c r="P73" s="43"/>
      <c r="Q73" s="43"/>
      <c r="R73" s="43"/>
      <c r="S73" s="43"/>
      <c r="T73" s="43"/>
      <c r="U73" s="43"/>
      <c r="V73" s="43"/>
      <c r="W73" s="43"/>
      <c r="X73" s="43"/>
      <c r="Y73" s="43"/>
      <c r="Z73" s="43"/>
      <c r="AA73" s="43"/>
      <c r="AB73" s="43"/>
      <c r="AC73" s="43"/>
      <c r="AD73" s="43"/>
      <c r="AE73" s="43"/>
      <c r="AF73" s="43"/>
      <c r="AG73" s="43"/>
      <c r="AH73" s="43"/>
      <c r="AI73" s="43"/>
      <c r="AJ73" s="43"/>
      <c r="AK73" s="43"/>
    </row>
    <row r="74" spans="1:37" x14ac:dyDescent="0.25">
      <c r="A74" s="43"/>
      <c r="B74" s="43"/>
      <c r="C74" s="43"/>
      <c r="D74" s="43"/>
      <c r="E74" s="43"/>
      <c r="F74" s="43"/>
      <c r="G74" s="43"/>
      <c r="H74" s="43"/>
      <c r="I74" s="43"/>
      <c r="J74" s="43"/>
      <c r="K74" s="43"/>
      <c r="L74" s="43"/>
      <c r="M74" s="43"/>
      <c r="N74" s="43"/>
      <c r="O74" s="43"/>
      <c r="P74" s="43"/>
      <c r="Q74" s="43"/>
      <c r="R74" s="43"/>
      <c r="S74" s="43"/>
      <c r="T74" s="43"/>
      <c r="U74" s="43"/>
      <c r="V74" s="43"/>
      <c r="W74" s="43"/>
      <c r="X74" s="43"/>
      <c r="Y74" s="43"/>
      <c r="Z74" s="43"/>
      <c r="AA74" s="43"/>
      <c r="AB74" s="43"/>
      <c r="AC74" s="43"/>
      <c r="AD74" s="43"/>
      <c r="AE74" s="43"/>
      <c r="AF74" s="43"/>
      <c r="AG74" s="43"/>
      <c r="AH74" s="43"/>
      <c r="AI74" s="43"/>
      <c r="AJ74" s="43"/>
      <c r="AK74" s="43"/>
    </row>
    <row r="75" spans="1:37" x14ac:dyDescent="0.25">
      <c r="A75" s="43"/>
      <c r="B75" s="43"/>
      <c r="C75" s="43"/>
      <c r="D75" s="43"/>
      <c r="E75" s="43"/>
      <c r="F75" s="43"/>
      <c r="G75" s="43"/>
      <c r="H75" s="43"/>
      <c r="I75" s="43"/>
      <c r="J75" s="43"/>
      <c r="K75" s="43"/>
      <c r="L75" s="43"/>
      <c r="M75" s="43"/>
      <c r="N75" s="43"/>
      <c r="O75" s="43"/>
      <c r="P75" s="43"/>
      <c r="Q75" s="43"/>
      <c r="R75" s="43"/>
      <c r="S75" s="43"/>
      <c r="T75" s="43"/>
      <c r="U75" s="43"/>
      <c r="V75" s="43"/>
      <c r="W75" s="43"/>
      <c r="X75" s="43"/>
      <c r="Y75" s="43"/>
      <c r="Z75" s="43"/>
      <c r="AA75" s="43"/>
      <c r="AB75" s="43"/>
      <c r="AC75" s="43"/>
      <c r="AD75" s="43"/>
      <c r="AE75" s="43"/>
      <c r="AF75" s="43"/>
      <c r="AG75" s="43"/>
      <c r="AH75" s="43"/>
      <c r="AI75" s="43"/>
      <c r="AJ75" s="43"/>
      <c r="AK75" s="43"/>
    </row>
    <row r="76" spans="1:37" x14ac:dyDescent="0.25">
      <c r="A76" s="43"/>
      <c r="B76" s="43"/>
      <c r="C76" s="43"/>
      <c r="D76" s="43"/>
      <c r="E76" s="43"/>
      <c r="F76" s="43"/>
      <c r="G76" s="43"/>
      <c r="H76" s="43"/>
      <c r="I76" s="43"/>
      <c r="J76" s="43"/>
      <c r="K76" s="43"/>
      <c r="L76" s="43"/>
      <c r="M76" s="43"/>
      <c r="N76" s="43"/>
      <c r="O76" s="43"/>
      <c r="P76" s="43"/>
      <c r="Q76" s="43"/>
      <c r="R76" s="43"/>
      <c r="S76" s="43"/>
      <c r="T76" s="43"/>
      <c r="U76" s="43"/>
      <c r="V76" s="43"/>
      <c r="W76" s="43"/>
      <c r="X76" s="43"/>
      <c r="Y76" s="43"/>
      <c r="Z76" s="43"/>
      <c r="AA76" s="43"/>
      <c r="AB76" s="43"/>
      <c r="AC76" s="43"/>
      <c r="AD76" s="43"/>
      <c r="AE76" s="43"/>
      <c r="AF76" s="43"/>
      <c r="AG76" s="43"/>
      <c r="AH76" s="43"/>
      <c r="AI76" s="43"/>
      <c r="AJ76" s="43"/>
      <c r="AK76" s="43"/>
    </row>
    <row r="77" spans="1:37" x14ac:dyDescent="0.25">
      <c r="A77" s="43"/>
      <c r="B77" s="43"/>
      <c r="C77" s="43"/>
      <c r="D77" s="43"/>
      <c r="E77" s="43"/>
      <c r="F77" s="43"/>
      <c r="G77" s="43"/>
      <c r="H77" s="43"/>
      <c r="I77" s="43"/>
      <c r="J77" s="43"/>
      <c r="K77" s="43"/>
      <c r="L77" s="43"/>
      <c r="M77" s="43"/>
      <c r="N77" s="43"/>
      <c r="O77" s="43"/>
      <c r="P77" s="43"/>
      <c r="Q77" s="43"/>
      <c r="R77" s="43"/>
      <c r="S77" s="43"/>
      <c r="T77" s="43"/>
      <c r="U77" s="43"/>
      <c r="V77" s="43"/>
      <c r="W77" s="43"/>
      <c r="X77" s="43"/>
      <c r="Y77" s="43"/>
      <c r="Z77" s="43"/>
      <c r="AA77" s="43"/>
      <c r="AB77" s="43"/>
      <c r="AC77" s="43"/>
      <c r="AD77" s="43"/>
      <c r="AE77" s="43"/>
      <c r="AF77" s="43"/>
      <c r="AG77" s="43"/>
      <c r="AH77" s="43"/>
      <c r="AI77" s="43"/>
      <c r="AJ77" s="43"/>
      <c r="AK77" s="43"/>
    </row>
    <row r="78" spans="1:37" x14ac:dyDescent="0.25">
      <c r="A78" s="43"/>
      <c r="B78" s="43"/>
      <c r="C78" s="43"/>
      <c r="D78" s="43"/>
      <c r="E78" s="43"/>
      <c r="F78" s="43"/>
      <c r="G78" s="43"/>
      <c r="H78" s="43"/>
      <c r="I78" s="43"/>
      <c r="J78" s="43"/>
      <c r="K78" s="43"/>
      <c r="L78" s="43"/>
      <c r="M78" s="43"/>
      <c r="N78" s="43"/>
      <c r="O78" s="43"/>
      <c r="P78" s="43"/>
      <c r="Q78" s="43"/>
      <c r="R78" s="43"/>
      <c r="S78" s="43"/>
      <c r="T78" s="43"/>
      <c r="U78" s="43"/>
      <c r="V78" s="43"/>
      <c r="W78" s="43"/>
      <c r="X78" s="43"/>
      <c r="Y78" s="43"/>
      <c r="Z78" s="43"/>
      <c r="AA78" s="43"/>
      <c r="AB78" s="43"/>
      <c r="AC78" s="43"/>
      <c r="AD78" s="43"/>
      <c r="AE78" s="43"/>
      <c r="AF78" s="43"/>
      <c r="AG78" s="43"/>
      <c r="AH78" s="43"/>
      <c r="AI78" s="43"/>
      <c r="AJ78" s="43"/>
      <c r="AK78" s="43"/>
    </row>
    <row r="79" spans="1:37" x14ac:dyDescent="0.25">
      <c r="A79" s="43"/>
      <c r="B79" s="43"/>
      <c r="C79" s="43"/>
      <c r="D79" s="43"/>
      <c r="E79" s="43"/>
      <c r="F79" s="43"/>
      <c r="G79" s="43"/>
      <c r="H79" s="43"/>
      <c r="I79" s="43"/>
      <c r="J79" s="43"/>
      <c r="K79" s="43"/>
      <c r="L79" s="43"/>
      <c r="M79" s="43"/>
      <c r="N79" s="43"/>
      <c r="O79" s="43"/>
      <c r="P79" s="43"/>
      <c r="Q79" s="43"/>
      <c r="R79" s="43"/>
      <c r="S79" s="43"/>
      <c r="T79" s="43"/>
      <c r="U79" s="43"/>
      <c r="V79" s="43"/>
      <c r="W79" s="43"/>
      <c r="X79" s="43"/>
      <c r="Y79" s="43"/>
      <c r="Z79" s="43"/>
      <c r="AA79" s="43"/>
      <c r="AB79" s="43"/>
      <c r="AC79" s="43"/>
      <c r="AD79" s="43"/>
      <c r="AE79" s="43"/>
      <c r="AF79" s="43"/>
      <c r="AG79" s="43"/>
      <c r="AH79" s="43"/>
      <c r="AI79" s="43"/>
      <c r="AJ79" s="43"/>
      <c r="AK79" s="43"/>
    </row>
    <row r="80" spans="1:37" x14ac:dyDescent="0.25">
      <c r="A80" s="43"/>
      <c r="B80" s="43"/>
      <c r="C80" s="43"/>
      <c r="D80" s="43"/>
      <c r="E80" s="43"/>
      <c r="F80" s="43"/>
      <c r="G80" s="43"/>
      <c r="H80" s="43"/>
      <c r="I80" s="43"/>
      <c r="J80" s="43"/>
      <c r="K80" s="43"/>
      <c r="L80" s="43"/>
      <c r="M80" s="43"/>
      <c r="N80" s="43"/>
      <c r="O80" s="43"/>
      <c r="P80" s="43"/>
      <c r="Q80" s="43"/>
      <c r="R80" s="43"/>
      <c r="S80" s="43"/>
      <c r="T80" s="43"/>
      <c r="U80" s="43"/>
      <c r="V80" s="43"/>
      <c r="W80" s="43"/>
      <c r="X80" s="43"/>
      <c r="Y80" s="43"/>
      <c r="Z80" s="43"/>
      <c r="AA80" s="43"/>
      <c r="AB80" s="43"/>
      <c r="AC80" s="43"/>
      <c r="AD80" s="43"/>
      <c r="AE80" s="43"/>
      <c r="AF80" s="43"/>
      <c r="AG80" s="43"/>
      <c r="AH80" s="43"/>
      <c r="AI80" s="43"/>
      <c r="AJ80" s="43"/>
      <c r="AK80" s="43"/>
    </row>
    <row r="81" spans="1:37" x14ac:dyDescent="0.25">
      <c r="A81" s="43"/>
      <c r="B81" s="43"/>
      <c r="C81" s="43"/>
      <c r="D81" s="43"/>
      <c r="E81" s="43"/>
      <c r="F81" s="43"/>
      <c r="G81" s="43"/>
      <c r="H81" s="43"/>
      <c r="I81" s="43"/>
      <c r="J81" s="43"/>
      <c r="K81" s="43"/>
      <c r="L81" s="43"/>
      <c r="M81" s="43"/>
      <c r="N81" s="43"/>
      <c r="O81" s="43"/>
      <c r="P81" s="43"/>
      <c r="Q81" s="43"/>
      <c r="R81" s="43"/>
      <c r="S81" s="43"/>
      <c r="T81" s="43"/>
      <c r="U81" s="43"/>
      <c r="V81" s="43"/>
      <c r="W81" s="43"/>
      <c r="X81" s="43"/>
      <c r="Y81" s="43"/>
      <c r="Z81" s="43"/>
      <c r="AA81" s="43"/>
      <c r="AB81" s="43"/>
      <c r="AC81" s="43"/>
      <c r="AD81" s="43"/>
      <c r="AE81" s="43"/>
      <c r="AF81" s="43"/>
      <c r="AG81" s="43"/>
      <c r="AH81" s="43"/>
      <c r="AI81" s="43"/>
      <c r="AJ81" s="43"/>
      <c r="AK81" s="43"/>
    </row>
    <row r="82" spans="1:37" x14ac:dyDescent="0.25">
      <c r="A82" s="43"/>
      <c r="B82" s="43"/>
      <c r="C82" s="43"/>
      <c r="D82" s="43"/>
      <c r="E82" s="43"/>
      <c r="F82" s="43"/>
      <c r="G82" s="43"/>
      <c r="H82" s="43"/>
      <c r="I82" s="43"/>
      <c r="J82" s="43"/>
      <c r="K82" s="43"/>
      <c r="L82" s="43"/>
      <c r="M82" s="43"/>
      <c r="N82" s="43"/>
      <c r="O82" s="43"/>
      <c r="P82" s="43"/>
      <c r="Q82" s="43"/>
      <c r="R82" s="43"/>
      <c r="S82" s="43"/>
      <c r="T82" s="43"/>
      <c r="U82" s="43"/>
      <c r="V82" s="43"/>
      <c r="W82" s="43"/>
      <c r="X82" s="43"/>
      <c r="Y82" s="43"/>
      <c r="Z82" s="43"/>
      <c r="AA82" s="43"/>
      <c r="AB82" s="43"/>
      <c r="AC82" s="43"/>
      <c r="AD82" s="43"/>
      <c r="AE82" s="43"/>
      <c r="AF82" s="43"/>
      <c r="AG82" s="43"/>
      <c r="AH82" s="43"/>
      <c r="AI82" s="43"/>
      <c r="AJ82" s="43"/>
      <c r="AK82" s="43"/>
    </row>
    <row r="83" spans="1:37" x14ac:dyDescent="0.25">
      <c r="A83" s="43"/>
      <c r="B83" s="43"/>
      <c r="C83" s="43"/>
      <c r="D83" s="43"/>
      <c r="E83" s="43"/>
      <c r="F83" s="43"/>
      <c r="G83" s="43"/>
      <c r="H83" s="43"/>
      <c r="I83" s="43"/>
      <c r="J83" s="43"/>
      <c r="K83" s="43"/>
      <c r="L83" s="43"/>
      <c r="M83" s="43"/>
      <c r="N83" s="43"/>
      <c r="O83" s="43"/>
      <c r="P83" s="43"/>
      <c r="Q83" s="43"/>
      <c r="R83" s="43"/>
      <c r="S83" s="43"/>
      <c r="T83" s="43"/>
      <c r="U83" s="43"/>
      <c r="V83" s="43"/>
      <c r="W83" s="43"/>
      <c r="X83" s="43"/>
      <c r="Y83" s="43"/>
      <c r="Z83" s="43"/>
      <c r="AA83" s="43"/>
      <c r="AB83" s="43"/>
      <c r="AC83" s="43"/>
      <c r="AD83" s="43"/>
      <c r="AE83" s="43"/>
      <c r="AF83" s="43"/>
      <c r="AG83" s="43"/>
      <c r="AH83" s="43"/>
      <c r="AI83" s="43"/>
      <c r="AJ83" s="43"/>
      <c r="AK83" s="43"/>
    </row>
    <row r="84" spans="1:37" x14ac:dyDescent="0.25">
      <c r="A84" s="43"/>
      <c r="B84" s="43"/>
      <c r="C84" s="43"/>
      <c r="D84" s="43"/>
      <c r="E84" s="43"/>
      <c r="F84" s="43"/>
      <c r="G84" s="43"/>
      <c r="H84" s="43"/>
      <c r="I84" s="43"/>
      <c r="J84" s="43"/>
      <c r="K84" s="43"/>
      <c r="L84" s="43"/>
      <c r="M84" s="43"/>
      <c r="N84" s="43"/>
      <c r="O84" s="43"/>
      <c r="P84" s="43"/>
      <c r="Q84" s="43"/>
      <c r="R84" s="43"/>
      <c r="S84" s="43"/>
      <c r="T84" s="43"/>
      <c r="U84" s="43"/>
      <c r="V84" s="43"/>
      <c r="W84" s="43"/>
      <c r="X84" s="43"/>
      <c r="Y84" s="43"/>
      <c r="Z84" s="43"/>
      <c r="AA84" s="43"/>
      <c r="AB84" s="43"/>
      <c r="AC84" s="43"/>
      <c r="AD84" s="43"/>
      <c r="AE84" s="43"/>
      <c r="AF84" s="43"/>
      <c r="AG84" s="43"/>
      <c r="AH84" s="43"/>
      <c r="AI84" s="43"/>
      <c r="AJ84" s="43"/>
      <c r="AK84" s="43"/>
    </row>
    <row r="85" spans="1:37" x14ac:dyDescent="0.25">
      <c r="A85" s="43"/>
      <c r="B85" s="43"/>
      <c r="C85" s="43"/>
      <c r="D85" s="43"/>
      <c r="E85" s="43"/>
      <c r="F85" s="43"/>
      <c r="G85" s="43"/>
      <c r="H85" s="43"/>
      <c r="I85" s="43"/>
      <c r="J85" s="43"/>
      <c r="K85" s="43"/>
      <c r="L85" s="43"/>
      <c r="M85" s="43"/>
      <c r="N85" s="43"/>
      <c r="O85" s="43"/>
      <c r="P85" s="43"/>
      <c r="Q85" s="43"/>
      <c r="R85" s="43"/>
      <c r="S85" s="43"/>
      <c r="T85" s="43"/>
      <c r="U85" s="43"/>
      <c r="V85" s="43"/>
      <c r="W85" s="43"/>
      <c r="X85" s="43"/>
      <c r="Y85" s="43"/>
      <c r="Z85" s="43"/>
      <c r="AA85" s="43"/>
      <c r="AB85" s="43"/>
      <c r="AC85" s="43"/>
      <c r="AD85" s="43"/>
      <c r="AE85" s="43"/>
      <c r="AF85" s="43"/>
      <c r="AG85" s="43"/>
      <c r="AH85" s="43"/>
      <c r="AI85" s="43"/>
      <c r="AJ85" s="43"/>
      <c r="AK85" s="43"/>
    </row>
    <row r="86" spans="1:37" x14ac:dyDescent="0.25">
      <c r="A86" s="43"/>
      <c r="B86" s="43"/>
      <c r="C86" s="43"/>
      <c r="D86" s="43"/>
      <c r="E86" s="43"/>
      <c r="F86" s="43"/>
      <c r="G86" s="43"/>
      <c r="H86" s="43"/>
      <c r="I86" s="43"/>
      <c r="J86" s="43"/>
      <c r="K86" s="43"/>
      <c r="L86" s="43"/>
      <c r="M86" s="43"/>
      <c r="N86" s="43"/>
      <c r="O86" s="43"/>
      <c r="P86" s="43"/>
      <c r="Q86" s="43"/>
      <c r="R86" s="43"/>
      <c r="S86" s="43"/>
      <c r="T86" s="43"/>
      <c r="U86" s="43"/>
      <c r="V86" s="43"/>
      <c r="W86" s="43"/>
      <c r="X86" s="43"/>
      <c r="Y86" s="43"/>
      <c r="Z86" s="43"/>
      <c r="AA86" s="43"/>
      <c r="AB86" s="43"/>
      <c r="AC86" s="43"/>
      <c r="AD86" s="43"/>
      <c r="AE86" s="43"/>
      <c r="AF86" s="43"/>
      <c r="AG86" s="43"/>
      <c r="AH86" s="43"/>
      <c r="AI86" s="43"/>
      <c r="AJ86" s="43"/>
      <c r="AK86" s="43"/>
    </row>
    <row r="87" spans="1:37" x14ac:dyDescent="0.25">
      <c r="A87" s="43"/>
      <c r="B87" s="43"/>
      <c r="C87" s="43"/>
      <c r="D87" s="43"/>
      <c r="E87" s="43"/>
      <c r="F87" s="43"/>
      <c r="G87" s="43"/>
      <c r="H87" s="43"/>
      <c r="I87" s="43"/>
      <c r="J87" s="43"/>
      <c r="K87" s="43"/>
      <c r="L87" s="43"/>
      <c r="M87" s="43"/>
      <c r="N87" s="43"/>
      <c r="O87" s="43"/>
      <c r="P87" s="43"/>
      <c r="Q87" s="43"/>
      <c r="R87" s="43"/>
      <c r="S87" s="43"/>
      <c r="T87" s="43"/>
      <c r="U87" s="43"/>
      <c r="V87" s="43"/>
      <c r="W87" s="43"/>
      <c r="X87" s="43"/>
      <c r="Y87" s="43"/>
      <c r="Z87" s="43"/>
      <c r="AA87" s="43"/>
      <c r="AB87" s="43"/>
      <c r="AC87" s="43"/>
      <c r="AD87" s="43"/>
      <c r="AE87" s="43"/>
      <c r="AF87" s="43"/>
      <c r="AG87" s="43"/>
      <c r="AH87" s="43"/>
      <c r="AI87" s="43"/>
      <c r="AJ87" s="43"/>
      <c r="AK87" s="43"/>
    </row>
    <row r="88" spans="1:37" x14ac:dyDescent="0.25">
      <c r="A88" s="43"/>
      <c r="B88" s="43"/>
      <c r="C88" s="43"/>
      <c r="D88" s="43"/>
      <c r="E88" s="43"/>
      <c r="F88" s="43"/>
      <c r="G88" s="43"/>
      <c r="H88" s="43"/>
      <c r="I88" s="43"/>
      <c r="J88" s="43"/>
      <c r="K88" s="43"/>
      <c r="L88" s="43"/>
      <c r="M88" s="43"/>
      <c r="N88" s="43"/>
      <c r="O88" s="43"/>
      <c r="P88" s="43"/>
      <c r="Q88" s="43"/>
      <c r="R88" s="43"/>
      <c r="S88" s="43"/>
      <c r="T88" s="43"/>
      <c r="U88" s="43"/>
      <c r="V88" s="43"/>
      <c r="W88" s="43"/>
      <c r="X88" s="43"/>
      <c r="Y88" s="43"/>
      <c r="Z88" s="43"/>
      <c r="AA88" s="43"/>
      <c r="AB88" s="43"/>
      <c r="AC88" s="43"/>
      <c r="AD88" s="43"/>
      <c r="AE88" s="43"/>
      <c r="AF88" s="43"/>
      <c r="AG88" s="43"/>
      <c r="AH88" s="43"/>
      <c r="AI88" s="43"/>
      <c r="AJ88" s="43"/>
      <c r="AK88" s="43"/>
    </row>
    <row r="89" spans="1:37" x14ac:dyDescent="0.25">
      <c r="A89" s="43"/>
      <c r="B89" s="43"/>
      <c r="C89" s="43"/>
      <c r="D89" s="43"/>
      <c r="E89" s="43"/>
      <c r="F89" s="43"/>
      <c r="G89" s="43"/>
      <c r="H89" s="43"/>
      <c r="I89" s="43"/>
      <c r="J89" s="43"/>
      <c r="K89" s="43"/>
      <c r="L89" s="43"/>
      <c r="M89" s="43"/>
      <c r="N89" s="43"/>
      <c r="O89" s="43"/>
      <c r="P89" s="43"/>
      <c r="Q89" s="43"/>
      <c r="R89" s="43"/>
      <c r="S89" s="43"/>
      <c r="T89" s="43"/>
      <c r="U89" s="43"/>
      <c r="V89" s="43"/>
      <c r="W89" s="43"/>
      <c r="X89" s="43"/>
      <c r="Y89" s="43"/>
      <c r="Z89" s="43"/>
      <c r="AA89" s="43"/>
      <c r="AB89" s="43"/>
      <c r="AC89" s="43"/>
      <c r="AD89" s="43"/>
      <c r="AE89" s="43"/>
      <c r="AF89" s="43"/>
      <c r="AG89" s="43"/>
      <c r="AH89" s="43"/>
      <c r="AI89" s="43"/>
      <c r="AJ89" s="43"/>
      <c r="AK89" s="43"/>
    </row>
    <row r="90" spans="1:37" x14ac:dyDescent="0.25">
      <c r="A90" s="43"/>
      <c r="B90" s="43"/>
      <c r="C90" s="43"/>
      <c r="D90" s="43"/>
      <c r="E90" s="43"/>
      <c r="F90" s="43"/>
      <c r="G90" s="43"/>
      <c r="H90" s="43"/>
      <c r="I90" s="43"/>
      <c r="J90" s="43"/>
      <c r="K90" s="43"/>
      <c r="L90" s="43"/>
      <c r="M90" s="43"/>
      <c r="N90" s="43"/>
      <c r="O90" s="43"/>
      <c r="P90" s="43"/>
      <c r="Q90" s="43"/>
      <c r="R90" s="43"/>
      <c r="S90" s="43"/>
      <c r="T90" s="43"/>
      <c r="U90" s="43"/>
      <c r="V90" s="43"/>
      <c r="W90" s="43"/>
      <c r="X90" s="43"/>
      <c r="Y90" s="43"/>
      <c r="Z90" s="43"/>
      <c r="AA90" s="43"/>
      <c r="AB90" s="43"/>
      <c r="AC90" s="43"/>
      <c r="AD90" s="43"/>
      <c r="AE90" s="43"/>
      <c r="AF90" s="43"/>
      <c r="AG90" s="43"/>
      <c r="AH90" s="43"/>
      <c r="AI90" s="43"/>
      <c r="AJ90" s="43"/>
      <c r="AK90" s="43"/>
    </row>
    <row r="91" spans="1:37" x14ac:dyDescent="0.25">
      <c r="A91" s="43"/>
      <c r="B91" s="43"/>
      <c r="C91" s="43"/>
      <c r="D91" s="43"/>
      <c r="E91" s="43"/>
      <c r="F91" s="43"/>
      <c r="G91" s="43"/>
      <c r="H91" s="43"/>
      <c r="I91" s="43"/>
      <c r="J91" s="43"/>
      <c r="K91" s="43"/>
      <c r="L91" s="43"/>
      <c r="M91" s="43"/>
      <c r="N91" s="43"/>
      <c r="O91" s="43"/>
      <c r="P91" s="43"/>
      <c r="Q91" s="43"/>
      <c r="R91" s="43"/>
      <c r="S91" s="43"/>
      <c r="T91" s="43"/>
      <c r="U91" s="43"/>
      <c r="V91" s="43"/>
      <c r="W91" s="43"/>
      <c r="X91" s="43"/>
      <c r="Y91" s="43"/>
      <c r="Z91" s="43"/>
      <c r="AA91" s="43"/>
      <c r="AB91" s="43"/>
      <c r="AC91" s="43"/>
      <c r="AD91" s="43"/>
      <c r="AE91" s="43"/>
      <c r="AF91" s="43"/>
      <c r="AG91" s="43"/>
      <c r="AH91" s="43"/>
      <c r="AI91" s="43"/>
      <c r="AJ91" s="43"/>
      <c r="AK91" s="43"/>
    </row>
    <row r="92" spans="1:37" x14ac:dyDescent="0.25">
      <c r="A92" s="43"/>
      <c r="B92" s="43"/>
      <c r="C92" s="43"/>
      <c r="D92" s="43"/>
      <c r="E92" s="43"/>
      <c r="F92" s="43"/>
      <c r="G92" s="43"/>
      <c r="H92" s="43"/>
      <c r="I92" s="43"/>
      <c r="J92" s="43"/>
      <c r="K92" s="43"/>
      <c r="L92" s="43"/>
      <c r="M92" s="43"/>
      <c r="N92" s="43"/>
      <c r="O92" s="43"/>
      <c r="P92" s="43"/>
      <c r="Q92" s="43"/>
      <c r="R92" s="43"/>
      <c r="S92" s="43"/>
      <c r="T92" s="43"/>
      <c r="U92" s="43"/>
      <c r="V92" s="43"/>
      <c r="W92" s="43"/>
      <c r="X92" s="43"/>
      <c r="Y92" s="43"/>
      <c r="Z92" s="43"/>
      <c r="AA92" s="43"/>
      <c r="AB92" s="43"/>
      <c r="AC92" s="43"/>
      <c r="AD92" s="43"/>
      <c r="AE92" s="43"/>
      <c r="AF92" s="43"/>
      <c r="AG92" s="43"/>
      <c r="AH92" s="43"/>
      <c r="AI92" s="43"/>
      <c r="AJ92" s="43"/>
      <c r="AK92" s="43"/>
    </row>
    <row r="93" spans="1:37" x14ac:dyDescent="0.25">
      <c r="A93" s="43"/>
      <c r="B93" s="43"/>
      <c r="C93" s="43"/>
      <c r="D93" s="43"/>
      <c r="E93" s="43"/>
      <c r="F93" s="43"/>
      <c r="G93" s="43"/>
      <c r="H93" s="43"/>
      <c r="I93" s="43"/>
      <c r="J93" s="43"/>
      <c r="K93" s="43"/>
      <c r="L93" s="43"/>
      <c r="M93" s="43"/>
      <c r="N93" s="43"/>
      <c r="O93" s="43"/>
      <c r="P93" s="43"/>
      <c r="Q93" s="43"/>
      <c r="R93" s="43"/>
      <c r="S93" s="43"/>
      <c r="T93" s="43"/>
      <c r="U93" s="43"/>
      <c r="V93" s="43"/>
      <c r="W93" s="43"/>
      <c r="X93" s="43"/>
      <c r="Y93" s="43"/>
      <c r="Z93" s="43"/>
      <c r="AA93" s="43"/>
      <c r="AB93" s="43"/>
      <c r="AC93" s="43"/>
      <c r="AD93" s="43"/>
      <c r="AE93" s="43"/>
      <c r="AF93" s="43"/>
      <c r="AG93" s="43"/>
      <c r="AH93" s="43"/>
      <c r="AI93" s="43"/>
      <c r="AJ93" s="43"/>
      <c r="AK93" s="43"/>
    </row>
    <row r="94" spans="1:37" x14ac:dyDescent="0.25">
      <c r="A94" s="43"/>
      <c r="B94" s="43"/>
      <c r="C94" s="43"/>
      <c r="D94" s="43"/>
      <c r="E94" s="43"/>
      <c r="F94" s="43"/>
      <c r="G94" s="43"/>
      <c r="H94" s="43"/>
      <c r="I94" s="43"/>
      <c r="J94" s="43"/>
      <c r="K94" s="43"/>
      <c r="L94" s="43"/>
      <c r="M94" s="43"/>
      <c r="N94" s="43"/>
      <c r="O94" s="43"/>
      <c r="P94" s="43"/>
      <c r="Q94" s="43"/>
      <c r="R94" s="43"/>
      <c r="S94" s="43"/>
      <c r="T94" s="43"/>
      <c r="U94" s="43"/>
      <c r="V94" s="43"/>
      <c r="W94" s="43"/>
      <c r="X94" s="43"/>
      <c r="Y94" s="43"/>
      <c r="Z94" s="43"/>
      <c r="AA94" s="43"/>
      <c r="AB94" s="43"/>
      <c r="AC94" s="43"/>
      <c r="AD94" s="43"/>
      <c r="AE94" s="43"/>
      <c r="AF94" s="43"/>
      <c r="AG94" s="43"/>
      <c r="AH94" s="43"/>
      <c r="AI94" s="43"/>
      <c r="AJ94" s="43"/>
      <c r="AK94" s="43"/>
    </row>
    <row r="95" spans="1:37" x14ac:dyDescent="0.25">
      <c r="A95" s="43"/>
      <c r="B95" s="43"/>
      <c r="C95" s="43"/>
      <c r="D95" s="43"/>
      <c r="E95" s="43"/>
      <c r="F95" s="43"/>
      <c r="G95" s="43"/>
      <c r="H95" s="43"/>
      <c r="I95" s="43"/>
      <c r="J95" s="43"/>
      <c r="K95" s="43"/>
      <c r="L95" s="43"/>
      <c r="M95" s="43"/>
      <c r="N95" s="43"/>
      <c r="O95" s="43"/>
      <c r="P95" s="43"/>
      <c r="Q95" s="43"/>
      <c r="R95" s="43"/>
      <c r="S95" s="43"/>
      <c r="T95" s="43"/>
      <c r="U95" s="43"/>
      <c r="V95" s="43"/>
      <c r="W95" s="43"/>
      <c r="X95" s="43"/>
      <c r="Y95" s="43"/>
      <c r="Z95" s="43"/>
      <c r="AA95" s="43"/>
      <c r="AB95" s="43"/>
      <c r="AC95" s="43"/>
      <c r="AD95" s="43"/>
      <c r="AE95" s="43"/>
      <c r="AF95" s="43"/>
      <c r="AG95" s="43"/>
      <c r="AH95" s="43"/>
      <c r="AI95" s="43"/>
      <c r="AJ95" s="43"/>
      <c r="AK95" s="43"/>
    </row>
    <row r="96" spans="1:37" x14ac:dyDescent="0.25">
      <c r="A96" s="43"/>
      <c r="B96" s="43"/>
      <c r="C96" s="43"/>
      <c r="D96" s="43"/>
      <c r="E96" s="43"/>
      <c r="F96" s="43"/>
      <c r="G96" s="43"/>
      <c r="H96" s="43"/>
      <c r="I96" s="43"/>
      <c r="J96" s="43"/>
      <c r="K96" s="43"/>
      <c r="L96" s="43"/>
      <c r="M96" s="43"/>
      <c r="N96" s="43"/>
      <c r="O96" s="43"/>
      <c r="P96" s="43"/>
      <c r="Q96" s="43"/>
      <c r="R96" s="43"/>
      <c r="S96" s="43"/>
      <c r="T96" s="43"/>
      <c r="U96" s="43"/>
      <c r="V96" s="43"/>
      <c r="W96" s="43"/>
      <c r="X96" s="43"/>
      <c r="Y96" s="43"/>
      <c r="Z96" s="43"/>
      <c r="AA96" s="43"/>
      <c r="AB96" s="43"/>
      <c r="AC96" s="43"/>
      <c r="AD96" s="43"/>
      <c r="AE96" s="43"/>
      <c r="AF96" s="43"/>
      <c r="AG96" s="43"/>
      <c r="AH96" s="43"/>
      <c r="AI96" s="43"/>
      <c r="AJ96" s="43"/>
      <c r="AK96" s="43"/>
    </row>
    <row r="97" spans="1:37" x14ac:dyDescent="0.25">
      <c r="A97" s="43"/>
      <c r="B97" s="43"/>
      <c r="C97" s="43"/>
      <c r="D97" s="43"/>
      <c r="E97" s="43"/>
      <c r="F97" s="43"/>
      <c r="G97" s="43"/>
      <c r="H97" s="43"/>
      <c r="I97" s="43"/>
      <c r="J97" s="43"/>
      <c r="K97" s="43"/>
      <c r="L97" s="43"/>
      <c r="M97" s="43"/>
      <c r="N97" s="43"/>
      <c r="O97" s="43"/>
      <c r="P97" s="43"/>
      <c r="Q97" s="43"/>
      <c r="R97" s="43"/>
      <c r="S97" s="43"/>
      <c r="T97" s="43"/>
      <c r="U97" s="43"/>
      <c r="V97" s="43"/>
      <c r="W97" s="43"/>
      <c r="X97" s="43"/>
      <c r="Y97" s="43"/>
      <c r="Z97" s="43"/>
      <c r="AA97" s="43"/>
      <c r="AB97" s="43"/>
      <c r="AC97" s="43"/>
      <c r="AD97" s="43"/>
      <c r="AE97" s="43"/>
      <c r="AF97" s="43"/>
      <c r="AG97" s="43"/>
      <c r="AH97" s="43"/>
      <c r="AI97" s="43"/>
      <c r="AJ97" s="43"/>
      <c r="AK97" s="43"/>
    </row>
    <row r="98" spans="1:37" x14ac:dyDescent="0.25">
      <c r="A98" s="43"/>
      <c r="B98" s="43"/>
      <c r="C98" s="43"/>
      <c r="D98" s="43"/>
      <c r="E98" s="43"/>
      <c r="F98" s="43"/>
      <c r="G98" s="43"/>
      <c r="H98" s="43"/>
      <c r="I98" s="43"/>
      <c r="J98" s="43"/>
      <c r="K98" s="43"/>
      <c r="L98" s="43"/>
      <c r="M98" s="43"/>
      <c r="N98" s="43"/>
      <c r="O98" s="43"/>
      <c r="P98" s="43"/>
      <c r="Q98" s="43"/>
      <c r="R98" s="43"/>
      <c r="S98" s="43"/>
      <c r="T98" s="43"/>
      <c r="U98" s="43"/>
      <c r="V98" s="43"/>
      <c r="W98" s="43"/>
      <c r="X98" s="43"/>
      <c r="Y98" s="43"/>
      <c r="Z98" s="43"/>
      <c r="AA98" s="43"/>
      <c r="AB98" s="43"/>
      <c r="AC98" s="43"/>
      <c r="AD98" s="43"/>
      <c r="AE98" s="43"/>
      <c r="AF98" s="43"/>
      <c r="AG98" s="43"/>
      <c r="AH98" s="43"/>
      <c r="AI98" s="43"/>
      <c r="AJ98" s="43"/>
      <c r="AK98" s="43"/>
    </row>
    <row r="99" spans="1:37" x14ac:dyDescent="0.25">
      <c r="A99" s="43"/>
      <c r="B99" s="43"/>
      <c r="C99" s="43"/>
      <c r="D99" s="43"/>
      <c r="E99" s="43"/>
      <c r="F99" s="43"/>
      <c r="G99" s="43"/>
      <c r="H99" s="43"/>
      <c r="I99" s="43"/>
      <c r="J99" s="43"/>
      <c r="K99" s="43"/>
      <c r="L99" s="43"/>
      <c r="M99" s="43"/>
      <c r="N99" s="43"/>
      <c r="O99" s="43"/>
      <c r="P99" s="43"/>
      <c r="Q99" s="43"/>
      <c r="R99" s="43"/>
      <c r="S99" s="43"/>
      <c r="T99" s="43"/>
      <c r="U99" s="43"/>
      <c r="V99" s="43"/>
      <c r="W99" s="43"/>
      <c r="X99" s="43"/>
      <c r="Y99" s="43"/>
      <c r="Z99" s="43"/>
      <c r="AA99" s="43"/>
      <c r="AB99" s="43"/>
      <c r="AC99" s="43"/>
      <c r="AD99" s="43"/>
      <c r="AE99" s="43"/>
      <c r="AF99" s="43"/>
      <c r="AG99" s="43"/>
      <c r="AH99" s="43"/>
      <c r="AI99" s="43"/>
      <c r="AJ99" s="43"/>
      <c r="AK99" s="43"/>
    </row>
    <row r="100" spans="1:37" x14ac:dyDescent="0.25">
      <c r="A100" s="43"/>
      <c r="B100" s="43"/>
      <c r="C100" s="43"/>
      <c r="D100" s="43"/>
      <c r="E100" s="43"/>
      <c r="F100" s="43"/>
      <c r="G100" s="43"/>
      <c r="H100" s="43"/>
      <c r="I100" s="43"/>
      <c r="J100" s="43"/>
      <c r="K100" s="43"/>
      <c r="L100" s="43"/>
      <c r="M100" s="43"/>
      <c r="N100" s="43"/>
      <c r="O100" s="43"/>
      <c r="P100" s="43"/>
      <c r="Q100" s="43"/>
      <c r="R100" s="43"/>
      <c r="S100" s="43"/>
      <c r="T100" s="43"/>
      <c r="U100" s="43"/>
      <c r="V100" s="43"/>
      <c r="W100" s="43"/>
      <c r="X100" s="43"/>
      <c r="Y100" s="43"/>
      <c r="Z100" s="43"/>
      <c r="AA100" s="43"/>
      <c r="AB100" s="43"/>
      <c r="AC100" s="43"/>
      <c r="AD100" s="43"/>
      <c r="AE100" s="43"/>
      <c r="AF100" s="43"/>
      <c r="AG100" s="43"/>
      <c r="AH100" s="43"/>
      <c r="AI100" s="43"/>
      <c r="AJ100" s="43"/>
      <c r="AK100" s="43"/>
    </row>
    <row r="101" spans="1:37" x14ac:dyDescent="0.25">
      <c r="A101" s="43"/>
      <c r="B101" s="43"/>
      <c r="C101" s="43"/>
      <c r="D101" s="43"/>
      <c r="E101" s="43"/>
      <c r="F101" s="43"/>
      <c r="G101" s="43"/>
      <c r="H101" s="43"/>
      <c r="I101" s="43"/>
      <c r="J101" s="43"/>
      <c r="K101" s="43"/>
      <c r="L101" s="43"/>
      <c r="M101" s="43"/>
      <c r="N101" s="43"/>
      <c r="O101" s="43"/>
      <c r="P101" s="43"/>
      <c r="Q101" s="43"/>
      <c r="R101" s="43"/>
      <c r="S101" s="43"/>
      <c r="T101" s="43"/>
      <c r="U101" s="43"/>
      <c r="V101" s="43"/>
      <c r="W101" s="43"/>
      <c r="X101" s="43"/>
      <c r="Y101" s="43"/>
      <c r="Z101" s="43"/>
      <c r="AA101" s="43"/>
      <c r="AB101" s="43"/>
      <c r="AC101" s="43"/>
      <c r="AD101" s="43"/>
      <c r="AE101" s="43"/>
      <c r="AF101" s="43"/>
      <c r="AG101" s="43"/>
      <c r="AH101" s="43"/>
      <c r="AI101" s="43"/>
      <c r="AJ101" s="43"/>
      <c r="AK101" s="43"/>
    </row>
    <row r="102" spans="1:37" x14ac:dyDescent="0.25">
      <c r="A102" s="43"/>
      <c r="B102" s="43"/>
      <c r="C102" s="43"/>
      <c r="D102" s="43"/>
      <c r="E102" s="43"/>
      <c r="F102" s="43"/>
      <c r="G102" s="43"/>
      <c r="H102" s="43"/>
      <c r="I102" s="43"/>
      <c r="J102" s="43"/>
      <c r="K102" s="43"/>
      <c r="L102" s="43"/>
      <c r="M102" s="43"/>
      <c r="N102" s="43"/>
      <c r="O102" s="43"/>
      <c r="P102" s="43"/>
      <c r="Q102" s="43"/>
      <c r="R102" s="43"/>
      <c r="S102" s="43"/>
      <c r="T102" s="43"/>
      <c r="U102" s="43"/>
      <c r="V102" s="43"/>
      <c r="W102" s="43"/>
      <c r="X102" s="43"/>
      <c r="Y102" s="43"/>
      <c r="Z102" s="43"/>
      <c r="AA102" s="43"/>
      <c r="AB102" s="43"/>
      <c r="AC102" s="43"/>
      <c r="AD102" s="43"/>
      <c r="AE102" s="43"/>
      <c r="AF102" s="43"/>
      <c r="AG102" s="43"/>
      <c r="AH102" s="43"/>
      <c r="AI102" s="43"/>
      <c r="AJ102" s="43"/>
      <c r="AK102" s="43"/>
    </row>
    <row r="103" spans="1:37" x14ac:dyDescent="0.25">
      <c r="A103" s="43"/>
      <c r="B103" s="43"/>
      <c r="C103" s="43"/>
      <c r="D103" s="43"/>
      <c r="E103" s="43"/>
      <c r="F103" s="43"/>
      <c r="G103" s="43"/>
      <c r="H103" s="43"/>
      <c r="I103" s="43"/>
      <c r="J103" s="43"/>
      <c r="K103" s="43"/>
      <c r="L103" s="43"/>
      <c r="M103" s="43"/>
      <c r="N103" s="43"/>
      <c r="O103" s="43"/>
      <c r="P103" s="43"/>
      <c r="Q103" s="43"/>
      <c r="R103" s="43"/>
      <c r="S103" s="43"/>
      <c r="T103" s="43"/>
      <c r="U103" s="43"/>
      <c r="V103" s="43"/>
      <c r="W103" s="43"/>
      <c r="X103" s="43"/>
      <c r="Y103" s="43"/>
      <c r="Z103" s="43"/>
      <c r="AA103" s="43"/>
      <c r="AB103" s="43"/>
      <c r="AC103" s="43"/>
      <c r="AD103" s="43"/>
      <c r="AE103" s="43"/>
      <c r="AF103" s="43"/>
      <c r="AG103" s="43"/>
      <c r="AH103" s="43"/>
      <c r="AI103" s="43"/>
      <c r="AJ103" s="43"/>
      <c r="AK103" s="43"/>
    </row>
    <row r="104" spans="1:37" x14ac:dyDescent="0.25">
      <c r="A104" s="43"/>
      <c r="B104" s="43"/>
      <c r="C104" s="43"/>
      <c r="D104" s="43"/>
      <c r="E104" s="43"/>
      <c r="F104" s="43"/>
      <c r="G104" s="43"/>
      <c r="H104" s="43"/>
      <c r="I104" s="43"/>
      <c r="J104" s="43"/>
      <c r="K104" s="43"/>
      <c r="L104" s="43"/>
      <c r="M104" s="43"/>
      <c r="N104" s="43"/>
      <c r="O104" s="43"/>
      <c r="P104" s="43"/>
      <c r="Q104" s="43"/>
      <c r="R104" s="43"/>
      <c r="S104" s="43"/>
      <c r="T104" s="43"/>
      <c r="U104" s="43"/>
      <c r="V104" s="43"/>
      <c r="W104" s="43"/>
      <c r="X104" s="43"/>
      <c r="Y104" s="43"/>
      <c r="Z104" s="43"/>
      <c r="AA104" s="43"/>
      <c r="AB104" s="43"/>
      <c r="AC104" s="43"/>
      <c r="AD104" s="43"/>
      <c r="AE104" s="43"/>
      <c r="AF104" s="43"/>
      <c r="AG104" s="43"/>
      <c r="AH104" s="43"/>
      <c r="AI104" s="43"/>
      <c r="AJ104" s="43"/>
      <c r="AK104" s="43"/>
    </row>
    <row r="105" spans="1:37" x14ac:dyDescent="0.25">
      <c r="A105" s="43"/>
      <c r="B105" s="43"/>
      <c r="C105" s="43"/>
      <c r="D105" s="43"/>
      <c r="E105" s="43"/>
      <c r="F105" s="43"/>
      <c r="G105" s="43"/>
      <c r="H105" s="43"/>
      <c r="I105" s="43"/>
      <c r="J105" s="43"/>
      <c r="K105" s="43"/>
      <c r="L105" s="43"/>
      <c r="M105" s="43"/>
      <c r="N105" s="43"/>
      <c r="O105" s="43"/>
      <c r="P105" s="43"/>
      <c r="Q105" s="43"/>
      <c r="R105" s="43"/>
      <c r="S105" s="43"/>
      <c r="T105" s="43"/>
      <c r="U105" s="43"/>
      <c r="V105" s="43"/>
      <c r="W105" s="43"/>
      <c r="X105" s="43"/>
      <c r="Y105" s="43"/>
      <c r="Z105" s="43"/>
      <c r="AA105" s="43"/>
      <c r="AB105" s="43"/>
      <c r="AC105" s="43"/>
      <c r="AD105" s="43"/>
      <c r="AE105" s="43"/>
      <c r="AF105" s="43"/>
      <c r="AG105" s="43"/>
      <c r="AH105" s="43"/>
      <c r="AI105" s="43"/>
      <c r="AJ105" s="43"/>
      <c r="AK105" s="43"/>
    </row>
  </sheetData>
  <mergeCells count="63">
    <mergeCell ref="F46:G48"/>
    <mergeCell ref="E46:E48"/>
    <mergeCell ref="C46:D48"/>
    <mergeCell ref="A32:B32"/>
    <mergeCell ref="A33:B33"/>
    <mergeCell ref="B44:H44"/>
    <mergeCell ref="H32:J32"/>
    <mergeCell ref="H33:J33"/>
    <mergeCell ref="C33:E33"/>
    <mergeCell ref="A45:I45"/>
    <mergeCell ref="B38:H38"/>
    <mergeCell ref="B39:H39"/>
    <mergeCell ref="B40:H40"/>
    <mergeCell ref="B41:H41"/>
    <mergeCell ref="B42:H42"/>
    <mergeCell ref="B43:H43"/>
    <mergeCell ref="A4:B4"/>
    <mergeCell ref="H28:J28"/>
    <mergeCell ref="H29:J29"/>
    <mergeCell ref="H30:J30"/>
    <mergeCell ref="C8:E8"/>
    <mergeCell ref="H8:J8"/>
    <mergeCell ref="C9:E9"/>
    <mergeCell ref="A5:B5"/>
    <mergeCell ref="A7:B7"/>
    <mergeCell ref="A8:B8"/>
    <mergeCell ref="A9:B9"/>
    <mergeCell ref="A11:J11"/>
    <mergeCell ref="B12:H12"/>
    <mergeCell ref="B13:H13"/>
    <mergeCell ref="B14:H14"/>
    <mergeCell ref="H26:I26"/>
    <mergeCell ref="B15:H15"/>
    <mergeCell ref="F21:G23"/>
    <mergeCell ref="E21:E23"/>
    <mergeCell ref="C21:D23"/>
    <mergeCell ref="C30:E30"/>
    <mergeCell ref="A30:B30"/>
    <mergeCell ref="B16:H16"/>
    <mergeCell ref="B17:H17"/>
    <mergeCell ref="B18:H18"/>
    <mergeCell ref="B19:H19"/>
    <mergeCell ref="A20:I20"/>
    <mergeCell ref="A29:B29"/>
    <mergeCell ref="D26:E26"/>
    <mergeCell ref="C29:E29"/>
    <mergeCell ref="H1:I1"/>
    <mergeCell ref="C4:E4"/>
    <mergeCell ref="C5:E5"/>
    <mergeCell ref="C6:E6"/>
    <mergeCell ref="C7:E7"/>
    <mergeCell ref="H4:J4"/>
    <mergeCell ref="H3:J3"/>
    <mergeCell ref="H6:J6"/>
    <mergeCell ref="H7:J7"/>
    <mergeCell ref="H5:J5"/>
    <mergeCell ref="C31:E31"/>
    <mergeCell ref="C32:E32"/>
    <mergeCell ref="C34:E34"/>
    <mergeCell ref="A36:J36"/>
    <mergeCell ref="B37:H37"/>
    <mergeCell ref="A34:B34"/>
    <mergeCell ref="H31:J31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5" r:id="rId3" name="CommandButton2">
          <controlPr defaultSize="0" autoLine="0" autoPict="0" r:id="rId4">
            <anchor moveWithCells="1">
              <from>
                <xdr:col>5</xdr:col>
                <xdr:colOff>28575</xdr:colOff>
                <xdr:row>20</xdr:row>
                <xdr:rowOff>28575</xdr:rowOff>
              </from>
              <to>
                <xdr:col>6</xdr:col>
                <xdr:colOff>571500</xdr:colOff>
                <xdr:row>22</xdr:row>
                <xdr:rowOff>161925</xdr:rowOff>
              </to>
            </anchor>
          </controlPr>
        </control>
      </mc:Choice>
      <mc:Fallback>
        <control shapeId="3075" r:id="rId3" name="CommandButton2"/>
      </mc:Fallback>
    </mc:AlternateContent>
    <mc:AlternateContent xmlns:mc="http://schemas.openxmlformats.org/markup-compatibility/2006">
      <mc:Choice Requires="x14">
        <control shapeId="3073" r:id="rId5" name="CommandButton1">
          <controlPr defaultSize="0" autoLine="0" autoPict="0" r:id="rId6">
            <anchor moveWithCells="1">
              <from>
                <xdr:col>2</xdr:col>
                <xdr:colOff>28575</xdr:colOff>
                <xdr:row>20</xdr:row>
                <xdr:rowOff>28575</xdr:rowOff>
              </from>
              <to>
                <xdr:col>3</xdr:col>
                <xdr:colOff>571500</xdr:colOff>
                <xdr:row>22</xdr:row>
                <xdr:rowOff>161925</xdr:rowOff>
              </to>
            </anchor>
          </controlPr>
        </control>
      </mc:Choice>
      <mc:Fallback>
        <control shapeId="3073" r:id="rId5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918943-F6F4-4F2A-B168-482DB8812929}">
  <sheetPr codeName="Sheet7"/>
  <dimension ref="A1:AB43"/>
  <sheetViews>
    <sheetView view="pageBreakPreview" zoomScaleNormal="100" zoomScaleSheetLayoutView="100" workbookViewId="0">
      <selection activeCell="M30" sqref="M30"/>
    </sheetView>
  </sheetViews>
  <sheetFormatPr defaultRowHeight="15" x14ac:dyDescent="0.25"/>
  <cols>
    <col min="1" max="1" width="9.140625" customWidth="1"/>
    <col min="3" max="3" width="9.140625" customWidth="1"/>
    <col min="6" max="6" width="4.42578125" customWidth="1"/>
    <col min="8" max="8" width="8.85546875" customWidth="1"/>
    <col min="9" max="9" width="9.7109375" customWidth="1"/>
    <col min="10" max="10" width="12.28515625" customWidth="1"/>
  </cols>
  <sheetData>
    <row r="1" spans="1:28" x14ac:dyDescent="0.25">
      <c r="A1" t="s">
        <v>57</v>
      </c>
      <c r="B1">
        <v>260017</v>
      </c>
      <c r="D1" t="s">
        <v>53</v>
      </c>
      <c r="E1" s="92">
        <f ca="1">TODAY()</f>
        <v>46159</v>
      </c>
      <c r="F1" s="88"/>
      <c r="G1" s="108"/>
      <c r="H1" s="109"/>
      <c r="I1" s="109"/>
      <c r="J1" s="110"/>
      <c r="N1" s="65"/>
      <c r="O1" s="65"/>
      <c r="P1" s="65"/>
      <c r="Q1" s="65"/>
      <c r="R1" s="65"/>
      <c r="S1" s="65"/>
      <c r="T1" s="65"/>
      <c r="U1" s="65"/>
      <c r="V1" s="65"/>
      <c r="W1" s="65"/>
      <c r="X1" s="65"/>
      <c r="Y1" s="65"/>
      <c r="Z1" s="66">
        <v>0.06</v>
      </c>
      <c r="AA1" s="65"/>
      <c r="AB1" s="65"/>
    </row>
    <row r="2" spans="1:28" ht="29.45" customHeight="1" x14ac:dyDescent="0.25">
      <c r="G2" s="111"/>
      <c r="H2" s="84"/>
      <c r="I2" s="84"/>
      <c r="J2" s="112"/>
      <c r="N2" s="65"/>
      <c r="O2" s="65"/>
      <c r="P2" s="65"/>
      <c r="Q2" s="65"/>
      <c r="R2" s="65"/>
      <c r="S2" s="65"/>
      <c r="T2" s="65"/>
      <c r="U2" s="65"/>
      <c r="V2" s="65"/>
      <c r="W2" s="65"/>
      <c r="X2" s="65"/>
      <c r="Y2" s="65"/>
      <c r="Z2" s="65"/>
      <c r="AA2" s="65"/>
      <c r="AB2" s="65"/>
    </row>
    <row r="3" spans="1:28" x14ac:dyDescent="0.25">
      <c r="A3" s="116" t="s">
        <v>58</v>
      </c>
      <c r="B3" s="116"/>
      <c r="C3" s="116"/>
      <c r="D3" s="116"/>
      <c r="E3" s="116"/>
      <c r="G3" s="111"/>
      <c r="H3" s="84"/>
      <c r="I3" s="84"/>
      <c r="J3" s="112"/>
      <c r="N3" s="65"/>
      <c r="O3" s="65"/>
      <c r="P3" s="65"/>
      <c r="Q3" s="65"/>
      <c r="R3" s="65"/>
      <c r="S3" s="65"/>
      <c r="T3" s="65"/>
      <c r="U3" s="65"/>
      <c r="V3" s="65"/>
      <c r="W3" s="65"/>
      <c r="X3" s="65"/>
      <c r="Y3" s="65"/>
      <c r="Z3" s="65"/>
      <c r="AA3" s="65"/>
      <c r="AB3" s="65"/>
    </row>
    <row r="4" spans="1:28" ht="15.75" thickBot="1" x14ac:dyDescent="0.3">
      <c r="B4" s="9" t="s">
        <v>0</v>
      </c>
      <c r="C4" s="88" t="str">
        <f>FrontPage!C5</f>
        <v>Bar N Ranch</v>
      </c>
      <c r="D4" s="88"/>
      <c r="E4" s="88"/>
      <c r="G4" s="113"/>
      <c r="H4" s="114"/>
      <c r="I4" s="114"/>
      <c r="J4" s="115"/>
      <c r="N4" s="65"/>
      <c r="O4" s="65"/>
      <c r="P4" s="65"/>
      <c r="Q4" s="65"/>
      <c r="R4" s="65"/>
      <c r="S4" s="65"/>
      <c r="T4" s="65"/>
      <c r="U4" s="65"/>
      <c r="V4" s="65"/>
      <c r="W4" s="65"/>
      <c r="X4" s="65"/>
      <c r="Y4" s="65"/>
      <c r="Z4" s="65"/>
      <c r="AA4" s="65"/>
      <c r="AB4" s="65"/>
    </row>
    <row r="5" spans="1:28" x14ac:dyDescent="0.25">
      <c r="B5" s="9" t="s">
        <v>2</v>
      </c>
      <c r="C5" s="88" t="str">
        <f>FrontPage!C6</f>
        <v>Barry Bar</v>
      </c>
      <c r="D5" s="88"/>
      <c r="E5" s="88"/>
      <c r="G5" t="s">
        <v>59</v>
      </c>
      <c r="H5" t="s">
        <v>60</v>
      </c>
    </row>
    <row r="6" spans="1:28" x14ac:dyDescent="0.25">
      <c r="B6" s="9" t="s">
        <v>4</v>
      </c>
      <c r="C6" s="88" t="str">
        <f>FrontPage!C7</f>
        <v>Box 32</v>
      </c>
      <c r="D6" s="88"/>
      <c r="E6" s="88"/>
      <c r="H6" t="s">
        <v>61</v>
      </c>
    </row>
    <row r="7" spans="1:28" x14ac:dyDescent="0.25">
      <c r="B7" s="9" t="s">
        <v>5</v>
      </c>
      <c r="C7" s="88" t="str">
        <f>FrontPage!C8</f>
        <v>Black Diamond</v>
      </c>
      <c r="D7" s="88"/>
      <c r="E7" s="88"/>
      <c r="H7" t="s">
        <v>62</v>
      </c>
    </row>
    <row r="8" spans="1:28" x14ac:dyDescent="0.25">
      <c r="B8" s="9" t="s">
        <v>6</v>
      </c>
      <c r="C8" s="88" t="str">
        <f>FrontPage!C9</f>
        <v>AB</v>
      </c>
      <c r="D8" s="88"/>
      <c r="E8" s="88"/>
      <c r="H8" t="s">
        <v>63</v>
      </c>
    </row>
    <row r="9" spans="1:28" ht="15.75" thickBot="1" x14ac:dyDescent="0.3">
      <c r="B9" s="9" t="s">
        <v>7</v>
      </c>
      <c r="C9" s="88" t="str">
        <f>FrontPage!C10</f>
        <v>T0B 1Z3</v>
      </c>
      <c r="D9" s="88"/>
      <c r="E9" s="88"/>
      <c r="H9" t="s">
        <v>65</v>
      </c>
    </row>
    <row r="10" spans="1:28" ht="13.15" customHeight="1" thickTop="1" x14ac:dyDescent="0.25">
      <c r="A10" s="61" t="s">
        <v>9</v>
      </c>
      <c r="B10" s="61"/>
      <c r="C10" s="61"/>
      <c r="D10" s="61"/>
      <c r="E10" s="95" t="s">
        <v>89</v>
      </c>
      <c r="F10" s="95"/>
      <c r="G10" s="61"/>
      <c r="H10" s="61"/>
      <c r="I10" s="61"/>
      <c r="J10" s="61"/>
    </row>
    <row r="11" spans="1:28" x14ac:dyDescent="0.25">
      <c r="A11" s="38" t="s">
        <v>66</v>
      </c>
      <c r="B11" s="90" t="s">
        <v>67</v>
      </c>
      <c r="C11" s="90"/>
      <c r="D11" s="90"/>
      <c r="E11" s="90"/>
      <c r="F11" s="90"/>
      <c r="G11" s="90"/>
      <c r="H11" s="90"/>
      <c r="I11" s="39" t="s">
        <v>12</v>
      </c>
      <c r="J11" s="39" t="s">
        <v>68</v>
      </c>
    </row>
    <row r="12" spans="1:28" x14ac:dyDescent="0.25">
      <c r="A12">
        <v>1</v>
      </c>
      <c r="B12" s="84" t="s">
        <v>16</v>
      </c>
      <c r="C12" s="84"/>
      <c r="D12" s="84"/>
      <c r="E12" s="84"/>
      <c r="F12" s="84"/>
      <c r="G12" s="84"/>
      <c r="H12" s="84"/>
      <c r="I12" s="41">
        <v>240</v>
      </c>
      <c r="J12" s="41">
        <f xml:space="preserve"> (A12 * I12)</f>
        <v>240</v>
      </c>
    </row>
    <row r="13" spans="1:28" x14ac:dyDescent="0.25">
      <c r="A13">
        <v>2</v>
      </c>
      <c r="B13" s="84" t="s">
        <v>17</v>
      </c>
      <c r="C13" s="84"/>
      <c r="D13" s="84"/>
      <c r="E13" s="84"/>
      <c r="F13" s="84"/>
      <c r="G13" s="84"/>
      <c r="H13" s="84"/>
      <c r="I13" s="41">
        <v>150</v>
      </c>
      <c r="J13" s="41">
        <f t="shared" ref="J13:J16" si="0" xml:space="preserve"> (A13 * I13)</f>
        <v>300</v>
      </c>
    </row>
    <row r="14" spans="1:28" x14ac:dyDescent="0.25">
      <c r="A14">
        <v>4</v>
      </c>
      <c r="B14" s="84" t="s">
        <v>18</v>
      </c>
      <c r="C14" s="84"/>
      <c r="D14" s="84"/>
      <c r="E14" s="84"/>
      <c r="F14" s="84"/>
      <c r="G14" s="84"/>
      <c r="H14" s="84"/>
      <c r="I14" s="41">
        <v>195</v>
      </c>
      <c r="J14" s="41">
        <f t="shared" si="0"/>
        <v>780</v>
      </c>
    </row>
    <row r="15" spans="1:28" x14ac:dyDescent="0.25">
      <c r="B15" s="84"/>
      <c r="C15" s="84"/>
      <c r="D15" s="84"/>
      <c r="E15" s="84"/>
      <c r="F15" s="84"/>
      <c r="G15" s="84"/>
      <c r="H15" s="84"/>
      <c r="I15" s="41"/>
      <c r="J15" s="41">
        <f t="shared" si="0"/>
        <v>0</v>
      </c>
    </row>
    <row r="16" spans="1:28" ht="15.75" thickBot="1" x14ac:dyDescent="0.3">
      <c r="B16" s="84"/>
      <c r="C16" s="84"/>
      <c r="D16" s="84"/>
      <c r="E16" s="84"/>
      <c r="F16" s="84"/>
      <c r="G16" s="84"/>
      <c r="H16" s="84"/>
      <c r="I16" s="41"/>
      <c r="J16" s="41">
        <f t="shared" si="0"/>
        <v>0</v>
      </c>
    </row>
    <row r="17" spans="1:10" ht="15.75" thickTop="1" x14ac:dyDescent="0.25">
      <c r="A17" s="94" t="s">
        <v>54</v>
      </c>
      <c r="B17" s="94"/>
      <c r="C17" s="94"/>
      <c r="D17" s="94"/>
      <c r="E17" s="94"/>
      <c r="F17" s="94"/>
      <c r="G17" s="94"/>
      <c r="H17" s="94"/>
      <c r="I17" s="94"/>
      <c r="J17" s="64">
        <f>SUM(J12:J16)</f>
        <v>1320</v>
      </c>
    </row>
    <row r="18" spans="1:10" x14ac:dyDescent="0.25">
      <c r="B18" s="93"/>
      <c r="C18" s="93"/>
      <c r="D18" s="123" t="s">
        <v>86</v>
      </c>
      <c r="E18" s="93"/>
      <c r="F18" s="93"/>
      <c r="G18" s="91" t="s">
        <v>84</v>
      </c>
      <c r="H18" s="91"/>
      <c r="I18" s="91"/>
      <c r="J18" s="41">
        <f>J17*Z1</f>
        <v>79.2</v>
      </c>
    </row>
    <row r="19" spans="1:10" ht="6" customHeight="1" thickBot="1" x14ac:dyDescent="0.3">
      <c r="B19" s="93"/>
      <c r="C19" s="93"/>
      <c r="D19" s="123"/>
      <c r="E19" s="93"/>
      <c r="F19" s="93"/>
      <c r="I19" s="9"/>
    </row>
    <row r="20" spans="1:10" ht="15.75" thickBot="1" x14ac:dyDescent="0.3">
      <c r="B20" s="93"/>
      <c r="C20" s="93"/>
      <c r="D20" s="123"/>
      <c r="E20" s="93"/>
      <c r="F20" s="93"/>
      <c r="I20" s="63" t="s">
        <v>68</v>
      </c>
      <c r="J20" s="62">
        <f>SUM(J17:J18)</f>
        <v>1399.2</v>
      </c>
    </row>
    <row r="22" spans="1:10" ht="15.75" thickBot="1" x14ac:dyDescent="0.3">
      <c r="A22" s="42"/>
      <c r="B22" s="42"/>
      <c r="C22" s="42"/>
      <c r="D22" s="42"/>
      <c r="E22" s="42"/>
      <c r="F22" s="42"/>
      <c r="G22" s="42"/>
      <c r="H22" s="42"/>
      <c r="I22" s="42"/>
      <c r="J22" s="42"/>
    </row>
    <row r="23" spans="1:10" ht="15.75" thickTop="1" x14ac:dyDescent="0.25">
      <c r="A23" t="s">
        <v>57</v>
      </c>
      <c r="B23">
        <f>B1</f>
        <v>260017</v>
      </c>
      <c r="D23" t="s">
        <v>53</v>
      </c>
      <c r="E23">
        <f ca="1">E1</f>
        <v>46159</v>
      </c>
    </row>
    <row r="24" spans="1:10" ht="7.15" customHeight="1" x14ac:dyDescent="0.25"/>
    <row r="25" spans="1:10" x14ac:dyDescent="0.25">
      <c r="A25" s="116" t="s">
        <v>58</v>
      </c>
      <c r="B25" s="116"/>
      <c r="C25" s="116"/>
      <c r="D25" s="116"/>
      <c r="E25" s="116"/>
      <c r="G25" t="s">
        <v>59</v>
      </c>
      <c r="H25" t="s">
        <v>60</v>
      </c>
    </row>
    <row r="26" spans="1:10" x14ac:dyDescent="0.25">
      <c r="B26" s="9" t="s">
        <v>0</v>
      </c>
      <c r="C26" s="88" t="str">
        <f t="shared" ref="C26:C31" si="1">C4</f>
        <v>Bar N Ranch</v>
      </c>
      <c r="D26" s="88"/>
      <c r="E26" s="88"/>
      <c r="H26" t="s">
        <v>61</v>
      </c>
    </row>
    <row r="27" spans="1:10" x14ac:dyDescent="0.25">
      <c r="B27" s="9" t="s">
        <v>2</v>
      </c>
      <c r="C27" s="88" t="str">
        <f t="shared" si="1"/>
        <v>Barry Bar</v>
      </c>
      <c r="D27" s="88"/>
      <c r="E27" s="88"/>
      <c r="H27" t="s">
        <v>62</v>
      </c>
    </row>
    <row r="28" spans="1:10" x14ac:dyDescent="0.25">
      <c r="B28" s="9" t="s">
        <v>4</v>
      </c>
      <c r="C28" s="88" t="str">
        <f t="shared" si="1"/>
        <v>Box 32</v>
      </c>
      <c r="D28" s="88"/>
      <c r="E28" s="88"/>
      <c r="H28" t="s">
        <v>63</v>
      </c>
    </row>
    <row r="29" spans="1:10" x14ac:dyDescent="0.25">
      <c r="B29" s="9" t="s">
        <v>5</v>
      </c>
      <c r="C29" s="88" t="str">
        <f t="shared" si="1"/>
        <v>Black Diamond</v>
      </c>
      <c r="D29" s="88"/>
      <c r="E29" s="88"/>
      <c r="H29" t="s">
        <v>64</v>
      </c>
    </row>
    <row r="30" spans="1:10" x14ac:dyDescent="0.25">
      <c r="B30" s="9" t="s">
        <v>6</v>
      </c>
      <c r="C30" s="88" t="str">
        <f t="shared" si="1"/>
        <v>AB</v>
      </c>
      <c r="D30" s="88"/>
      <c r="E30" s="88"/>
      <c r="H30" t="s">
        <v>65</v>
      </c>
    </row>
    <row r="31" spans="1:10" ht="15.75" thickBot="1" x14ac:dyDescent="0.3">
      <c r="B31" s="9" t="s">
        <v>7</v>
      </c>
      <c r="C31" s="88" t="str">
        <f t="shared" si="1"/>
        <v>T0B 1Z3</v>
      </c>
      <c r="D31" s="88"/>
      <c r="E31" s="88"/>
    </row>
    <row r="32" spans="1:10" ht="12.6" customHeight="1" thickTop="1" x14ac:dyDescent="0.25">
      <c r="A32" s="61" t="s">
        <v>9</v>
      </c>
      <c r="B32" s="61"/>
      <c r="C32" s="61"/>
      <c r="D32" s="61"/>
      <c r="E32" s="95" t="s">
        <v>88</v>
      </c>
      <c r="F32" s="95"/>
      <c r="G32" s="61"/>
      <c r="H32" s="61"/>
      <c r="I32" s="61"/>
      <c r="J32" s="61"/>
    </row>
    <row r="33" spans="1:10" x14ac:dyDescent="0.25">
      <c r="A33" s="38" t="s">
        <v>66</v>
      </c>
      <c r="B33" s="90" t="s">
        <v>67</v>
      </c>
      <c r="C33" s="90"/>
      <c r="D33" s="90"/>
      <c r="E33" s="90"/>
      <c r="F33" s="90"/>
      <c r="G33" s="90"/>
      <c r="H33" s="90"/>
      <c r="I33" s="39" t="s">
        <v>12</v>
      </c>
      <c r="J33" s="39" t="s">
        <v>68</v>
      </c>
    </row>
    <row r="34" spans="1:10" x14ac:dyDescent="0.25">
      <c r="A34">
        <f t="shared" ref="A34:B38" si="2">A12</f>
        <v>1</v>
      </c>
      <c r="B34" s="84" t="str">
        <f t="shared" si="2"/>
        <v>Potable</v>
      </c>
      <c r="C34" s="84"/>
      <c r="D34" s="84"/>
      <c r="E34" s="84"/>
      <c r="F34" s="84"/>
      <c r="G34" s="84"/>
      <c r="H34" s="84"/>
      <c r="I34" s="41">
        <f t="shared" ref="I34:J38" si="3">I12</f>
        <v>240</v>
      </c>
      <c r="J34" s="41">
        <f t="shared" si="3"/>
        <v>240</v>
      </c>
    </row>
    <row r="35" spans="1:10" x14ac:dyDescent="0.25">
      <c r="A35">
        <f t="shared" si="2"/>
        <v>2</v>
      </c>
      <c r="B35" s="84" t="str">
        <f t="shared" si="2"/>
        <v>Total/E.Coli</v>
      </c>
      <c r="C35" s="84"/>
      <c r="D35" s="84"/>
      <c r="E35" s="84"/>
      <c r="F35" s="84"/>
      <c r="G35" s="84"/>
      <c r="H35" s="84"/>
      <c r="I35" s="41">
        <f t="shared" si="3"/>
        <v>150</v>
      </c>
      <c r="J35" s="41">
        <f t="shared" si="3"/>
        <v>300</v>
      </c>
    </row>
    <row r="36" spans="1:10" x14ac:dyDescent="0.25">
      <c r="A36">
        <f t="shared" si="2"/>
        <v>4</v>
      </c>
      <c r="B36" s="84" t="str">
        <f t="shared" si="2"/>
        <v>Potable Package</v>
      </c>
      <c r="C36" s="84"/>
      <c r="D36" s="84"/>
      <c r="E36" s="84"/>
      <c r="F36" s="84"/>
      <c r="G36" s="84"/>
      <c r="H36" s="84"/>
      <c r="I36" s="41">
        <f t="shared" si="3"/>
        <v>195</v>
      </c>
      <c r="J36" s="41">
        <f t="shared" si="3"/>
        <v>780</v>
      </c>
    </row>
    <row r="37" spans="1:10" x14ac:dyDescent="0.25">
      <c r="A37">
        <f t="shared" si="2"/>
        <v>0</v>
      </c>
      <c r="B37" s="84">
        <f t="shared" si="2"/>
        <v>0</v>
      </c>
      <c r="C37" s="84"/>
      <c r="D37" s="84"/>
      <c r="E37" s="84"/>
      <c r="F37" s="84"/>
      <c r="G37" s="84"/>
      <c r="H37" s="84"/>
      <c r="I37" s="41">
        <f t="shared" si="3"/>
        <v>0</v>
      </c>
      <c r="J37" s="41">
        <f t="shared" si="3"/>
        <v>0</v>
      </c>
    </row>
    <row r="38" spans="1:10" ht="15.75" thickBot="1" x14ac:dyDescent="0.3">
      <c r="A38">
        <f t="shared" si="2"/>
        <v>0</v>
      </c>
      <c r="B38" s="84">
        <f t="shared" si="2"/>
        <v>0</v>
      </c>
      <c r="C38" s="84"/>
      <c r="D38" s="84"/>
      <c r="E38" s="84"/>
      <c r="F38" s="84"/>
      <c r="G38" s="84"/>
      <c r="H38" s="84"/>
      <c r="I38" s="41">
        <f t="shared" si="3"/>
        <v>0</v>
      </c>
      <c r="J38" s="41">
        <f t="shared" si="3"/>
        <v>0</v>
      </c>
    </row>
    <row r="39" spans="1:10" ht="16.5" thickTop="1" thickBot="1" x14ac:dyDescent="0.3">
      <c r="A39" s="94" t="s">
        <v>54</v>
      </c>
      <c r="B39" s="94"/>
      <c r="C39" s="94"/>
      <c r="D39" s="94"/>
      <c r="E39" s="94"/>
      <c r="F39" s="94"/>
      <c r="G39" s="94"/>
      <c r="H39" s="94"/>
      <c r="I39" s="94"/>
      <c r="J39" s="64">
        <f>J17</f>
        <v>1320</v>
      </c>
    </row>
    <row r="40" spans="1:10" x14ac:dyDescent="0.25">
      <c r="B40" s="101" t="s">
        <v>87</v>
      </c>
      <c r="C40" s="102"/>
      <c r="D40" s="100" t="s">
        <v>86</v>
      </c>
      <c r="E40" s="117" t="s">
        <v>85</v>
      </c>
      <c r="F40" s="118"/>
      <c r="G40" s="107" t="s">
        <v>84</v>
      </c>
      <c r="H40" s="91"/>
      <c r="I40" s="91"/>
      <c r="J40" s="41">
        <f>J18</f>
        <v>79.2</v>
      </c>
    </row>
    <row r="41" spans="1:10" ht="6" customHeight="1" x14ac:dyDescent="0.25">
      <c r="B41" s="103"/>
      <c r="C41" s="104"/>
      <c r="D41" s="100"/>
      <c r="E41" s="119"/>
      <c r="F41" s="120"/>
      <c r="I41" s="9"/>
    </row>
    <row r="42" spans="1:10" ht="15.75" thickBot="1" x14ac:dyDescent="0.3">
      <c r="B42" s="105"/>
      <c r="C42" s="106"/>
      <c r="D42" s="100"/>
      <c r="E42" s="121"/>
      <c r="F42" s="122"/>
      <c r="I42" s="9" t="s">
        <v>68</v>
      </c>
      <c r="J42" s="41">
        <f>J20</f>
        <v>1399.2</v>
      </c>
    </row>
    <row r="43" spans="1:10" ht="4.5" customHeight="1" x14ac:dyDescent="0.25"/>
  </sheetData>
  <mergeCells count="40">
    <mergeCell ref="B16:H16"/>
    <mergeCell ref="B18:C20"/>
    <mergeCell ref="A39:I39"/>
    <mergeCell ref="B34:H34"/>
    <mergeCell ref="B35:H35"/>
    <mergeCell ref="B36:H36"/>
    <mergeCell ref="B37:H37"/>
    <mergeCell ref="B38:H38"/>
    <mergeCell ref="A3:E3"/>
    <mergeCell ref="A25:E25"/>
    <mergeCell ref="E40:F42"/>
    <mergeCell ref="D18:D20"/>
    <mergeCell ref="E1:F1"/>
    <mergeCell ref="E32:F32"/>
    <mergeCell ref="E18:F20"/>
    <mergeCell ref="A17:I17"/>
    <mergeCell ref="C28:E28"/>
    <mergeCell ref="C29:E29"/>
    <mergeCell ref="C30:E30"/>
    <mergeCell ref="C31:E31"/>
    <mergeCell ref="C26:E26"/>
    <mergeCell ref="C27:E27"/>
    <mergeCell ref="E10:F10"/>
    <mergeCell ref="G18:I18"/>
    <mergeCell ref="D40:D42"/>
    <mergeCell ref="B33:H33"/>
    <mergeCell ref="C4:E4"/>
    <mergeCell ref="C5:E5"/>
    <mergeCell ref="C6:E6"/>
    <mergeCell ref="C7:E7"/>
    <mergeCell ref="C8:E8"/>
    <mergeCell ref="C9:E9"/>
    <mergeCell ref="B40:C42"/>
    <mergeCell ref="B15:H15"/>
    <mergeCell ref="B11:H11"/>
    <mergeCell ref="B12:H12"/>
    <mergeCell ref="B13:H13"/>
    <mergeCell ref="B14:H14"/>
    <mergeCell ref="G40:I40"/>
    <mergeCell ref="G1:J4"/>
  </mergeCells>
  <pageMargins left="0.7" right="0.7" top="0.75" bottom="0.75" header="0.3" footer="0.3"/>
  <pageSetup scale="97" orientation="portrait" r:id="rId1"/>
  <drawing r:id="rId2"/>
  <legacyDrawing r:id="rId3"/>
  <controls>
    <mc:AlternateContent xmlns:mc="http://schemas.openxmlformats.org/markup-compatibility/2006">
      <mc:Choice Requires="x14">
        <control shapeId="6145" r:id="rId4" name="CommandButton1">
          <controlPr defaultSize="0" autoFill="0" autoLine="0" r:id="rId5">
            <anchor moveWithCells="1">
              <from>
                <xdr:col>3</xdr:col>
                <xdr:colOff>390525</xdr:colOff>
                <xdr:row>17</xdr:row>
                <xdr:rowOff>9525</xdr:rowOff>
              </from>
              <to>
                <xdr:col>6</xdr:col>
                <xdr:colOff>28575</xdr:colOff>
                <xdr:row>20</xdr:row>
                <xdr:rowOff>0</xdr:rowOff>
              </to>
            </anchor>
          </controlPr>
        </control>
      </mc:Choice>
      <mc:Fallback>
        <control shapeId="6145" r:id="rId4" name="CommandButton1"/>
      </mc:Fallback>
    </mc:AlternateContent>
    <mc:AlternateContent xmlns:mc="http://schemas.openxmlformats.org/markup-compatibility/2006">
      <mc:Choice Requires="x14">
        <control shapeId="6146" r:id="rId6" name="CommandButton2">
          <controlPr defaultSize="0" autoFill="0" autoLine="0" autoPict="0" r:id="rId7">
            <anchor moveWithCells="1">
              <from>
                <xdr:col>1</xdr:col>
                <xdr:colOff>57150</xdr:colOff>
                <xdr:row>16</xdr:row>
                <xdr:rowOff>200025</xdr:rowOff>
              </from>
              <to>
                <xdr:col>2</xdr:col>
                <xdr:colOff>600075</xdr:colOff>
                <xdr:row>20</xdr:row>
                <xdr:rowOff>9525</xdr:rowOff>
              </to>
            </anchor>
          </controlPr>
        </control>
      </mc:Choice>
      <mc:Fallback>
        <control shapeId="6146" r:id="rId6" name="CommandButton2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</vt:i4>
      </vt:variant>
    </vt:vector>
  </HeadingPairs>
  <TitlesOfParts>
    <vt:vector size="7" baseType="lpstr">
      <vt:lpstr>FrontPage</vt:lpstr>
      <vt:lpstr>Customers&amp;Prices</vt:lpstr>
      <vt:lpstr>Graphics</vt:lpstr>
      <vt:lpstr>Transactions</vt:lpstr>
      <vt:lpstr>Invoice(old)</vt:lpstr>
      <vt:lpstr>Invoice</vt:lpstr>
      <vt:lpstr>Invoice!Print_Area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Force</dc:creator>
  <cp:lastModifiedBy>Force</cp:lastModifiedBy>
  <dcterms:created xsi:type="dcterms:W3CDTF">2015-06-05T18:17:20Z</dcterms:created>
  <dcterms:modified xsi:type="dcterms:W3CDTF">2026-05-18T02:55:21Z</dcterms:modified>
</cp:coreProperties>
</file>