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7CF82EC8-C6AB-47FE-A6AC-214013FA89BC}" xr6:coauthVersionLast="47" xr6:coauthVersionMax="47" xr10:uidLastSave="{00000000-0000-0000-0000-000000000000}"/>
  <bookViews>
    <workbookView xWindow="-28920" yWindow="-1095" windowWidth="29040" windowHeight="15720" tabRatio="627" activeTab="2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<sst xmlns="http://schemas.openxmlformats.org/spreadsheetml/2006/main" count="301" uniqueCount="90">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</sst>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  <font>
      <b/>
      <sz val="11"/>
      <color theme="5" tint="-0.499984740745262"/>
      <name val="Calibri"/>
      <family val="2"/>
      <scheme val="minor"/>
    </font>
    <font>
      <b/>
      <sz val="12"/>
      <color theme="7" tint="0.3999755851924192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9" borderId="0" xfId="0" applyFill="1"/>
    <xf numFmtId="0" fontId="0" fillId="9" borderId="3" xfId="0" applyFill="1" applyBorder="1"/>
    <xf numFmtId="0" fontId="16" fillId="9" borderId="0" xfId="0" applyFont="1" applyFill="1" applyAlignment="1">
      <alignment horizontal="right"/>
    </xf>
    <xf numFmtId="0" fontId="17" fillId="9" borderId="4" xfId="0" applyFont="1" applyFill="1" applyBorder="1"/>
    <xf numFmtId="0" fontId="17" fillId="9" borderId="5" xfId="0" applyFont="1" applyFill="1" applyBorder="1"/>
    <xf numFmtId="0" fontId="17" fillId="9" borderId="0" xfId="0" applyFont="1" applyFill="1"/>
    <xf numFmtId="0" fontId="17" fillId="9" borderId="3" xfId="0" applyFont="1" applyFill="1" applyBorder="1"/>
    <xf numFmtId="0" fontId="0" fillId="0" borderId="0" xfId="0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64" fontId="18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0" fillId="10" borderId="0" xfId="0" applyFont="1" applyFill="1"/>
    <xf numFmtId="0" fontId="0" fillId="10" borderId="0" xfId="0" applyFill="1"/>
    <xf numFmtId="0" fontId="21" fillId="8" borderId="0" xfId="0" applyFont="1" applyFill="1" applyAlignment="1">
      <alignment horizontal="right"/>
    </xf>
    <xf numFmtId="0" fontId="22" fillId="7" borderId="0" xfId="0" applyFont="1" applyFill="1" applyAlignment="1">
      <alignment horizontal="center"/>
    </xf>
    <xf numFmtId="0" fontId="0" fillId="11" borderId="0" xfId="0" applyFill="1"/>
    <xf numFmtId="0" fontId="24" fillId="7" borderId="0" xfId="0" applyFont="1" applyFill="1"/>
    <xf numFmtId="0" fontId="26" fillId="0" borderId="0" xfId="0" applyFont="1"/>
    <xf numFmtId="0" fontId="28" fillId="6" borderId="0" xfId="0" applyFont="1" applyFill="1" applyAlignment="1">
      <alignment horizontal="right" vertical="center"/>
    </xf>
    <xf numFmtId="0" fontId="27" fillId="10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2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0" fillId="0" borderId="0" xfId="0" applyFont="1"/>
    <xf numFmtId="0" fontId="33" fillId="16" borderId="0" xfId="0" applyFont="1" applyFill="1"/>
    <xf numFmtId="7" fontId="23" fillId="15" borderId="1" xfId="0" applyNumberFormat="1" applyFont="1" applyFill="1" applyBorder="1"/>
    <xf numFmtId="0" fontId="29" fillId="15" borderId="1" xfId="0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23" fillId="15" borderId="1" xfId="0" applyFont="1" applyFill="1" applyBorder="1"/>
    <xf numFmtId="0" fontId="0" fillId="4" borderId="0" xfId="0" applyFill="1"/>
    <xf numFmtId="6" fontId="35" fillId="15" borderId="1" xfId="0" applyNumberFormat="1" applyFont="1" applyFill="1" applyBorder="1" applyAlignment="1">
      <alignment horizontal="center" vertical="center"/>
    </xf>
    <xf numFmtId="0" fontId="0" fillId="17" borderId="0" xfId="0" applyFill="1"/>
    <xf numFmtId="0" fontId="21" fillId="4" borderId="1" xfId="0" applyFont="1" applyFill="1" applyBorder="1" applyAlignment="1">
      <alignment horizontal="center"/>
    </xf>
    <xf numFmtId="0" fontId="36" fillId="7" borderId="0" xfId="0" applyFont="1" applyFill="1" applyAlignment="1">
      <alignment horizontal="right" vertical="center"/>
    </xf>
    <xf numFmtId="0" fontId="0" fillId="6" borderId="0" xfId="0" applyFill="1" applyAlignment="1">
      <alignment horizontal="center"/>
    </xf>
    <xf numFmtId="0" fontId="34" fillId="8" borderId="0" xfId="0" applyFont="1" applyFill="1" applyAlignment="1">
      <alignment horizontal="center" wrapText="1"/>
    </xf>
    <xf numFmtId="0" fontId="25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6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8" fillId="0" borderId="0" xfId="0" applyFont="1" applyAlignment="1">
      <alignment horizontal="right" wrapText="1"/>
    </xf>
    <xf numFmtId="0" fontId="19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3" borderId="0" xfId="0" applyFont="1" applyFill="1" applyAlignment="1">
      <alignment horizontal="center" vertical="center" wrapText="1"/>
    </xf>
    <xf numFmtId="0" fontId="30" fillId="12" borderId="0" xfId="0" applyFont="1" applyFill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4" borderId="14" xfId="0" applyFill="1" applyBorder="1" applyAlignment="1">
      <alignment horizontal="center" vertical="center" wrapText="1"/>
    </xf>
    <xf numFmtId="0" fontId="0" fillId="14" borderId="13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4" borderId="11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 wrapText="1"/>
    </xf>
    <xf numFmtId="0" fontId="0" fillId="14" borderId="8" xfId="0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2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sv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sv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13" Type="http://schemas.openxmlformats.org/officeDocument/2006/relationships/image" Target="../media/image26.png"/><Relationship Id="rId18" Type="http://schemas.openxmlformats.org/officeDocument/2006/relationships/image" Target="../media/image31.svg"/><Relationship Id="rId26" Type="http://schemas.openxmlformats.org/officeDocument/2006/relationships/image" Target="../media/image39.png"/><Relationship Id="rId39" Type="http://schemas.openxmlformats.org/officeDocument/2006/relationships/image" Target="../media/image52.svg"/><Relationship Id="rId3" Type="http://schemas.openxmlformats.org/officeDocument/2006/relationships/image" Target="../media/image16.png"/><Relationship Id="rId21" Type="http://schemas.openxmlformats.org/officeDocument/2006/relationships/image" Target="../media/image34.png"/><Relationship Id="rId34" Type="http://schemas.openxmlformats.org/officeDocument/2006/relationships/image" Target="../media/image47.png"/><Relationship Id="rId42" Type="http://schemas.openxmlformats.org/officeDocument/2006/relationships/image" Target="../media/image1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30.png"/><Relationship Id="rId25" Type="http://schemas.openxmlformats.org/officeDocument/2006/relationships/image" Target="../media/image38.svg"/><Relationship Id="rId33" Type="http://schemas.openxmlformats.org/officeDocument/2006/relationships/image" Target="../media/image46.svg"/><Relationship Id="rId38" Type="http://schemas.openxmlformats.org/officeDocument/2006/relationships/image" Target="../media/image51.png"/><Relationship Id="rId2" Type="http://schemas.openxmlformats.org/officeDocument/2006/relationships/image" Target="../media/image14.svg"/><Relationship Id="rId16" Type="http://schemas.openxmlformats.org/officeDocument/2006/relationships/image" Target="../media/image29.svg"/><Relationship Id="rId20" Type="http://schemas.openxmlformats.org/officeDocument/2006/relationships/image" Target="../media/image33.svg"/><Relationship Id="rId29" Type="http://schemas.openxmlformats.org/officeDocument/2006/relationships/image" Target="../media/image42.svg"/><Relationship Id="rId41" Type="http://schemas.openxmlformats.org/officeDocument/2006/relationships/image" Target="../media/image54.svg"/><Relationship Id="rId1" Type="http://schemas.openxmlformats.org/officeDocument/2006/relationships/image" Target="../media/image13.png"/><Relationship Id="rId6" Type="http://schemas.openxmlformats.org/officeDocument/2006/relationships/image" Target="../media/image19.svg"/><Relationship Id="rId11" Type="http://schemas.openxmlformats.org/officeDocument/2006/relationships/image" Target="../media/image24.png"/><Relationship Id="rId24" Type="http://schemas.openxmlformats.org/officeDocument/2006/relationships/image" Target="../media/image37.png"/><Relationship Id="rId32" Type="http://schemas.openxmlformats.org/officeDocument/2006/relationships/image" Target="../media/image45.png"/><Relationship Id="rId37" Type="http://schemas.openxmlformats.org/officeDocument/2006/relationships/image" Target="../media/image50.svg"/><Relationship Id="rId40" Type="http://schemas.openxmlformats.org/officeDocument/2006/relationships/image" Target="../media/image53.png"/><Relationship Id="rId5" Type="http://schemas.openxmlformats.org/officeDocument/2006/relationships/image" Target="../media/image18.png"/><Relationship Id="rId15" Type="http://schemas.openxmlformats.org/officeDocument/2006/relationships/image" Target="../media/image28.png"/><Relationship Id="rId23" Type="http://schemas.openxmlformats.org/officeDocument/2006/relationships/image" Target="../media/image36.svg"/><Relationship Id="rId28" Type="http://schemas.openxmlformats.org/officeDocument/2006/relationships/image" Target="../media/image41.png"/><Relationship Id="rId36" Type="http://schemas.openxmlformats.org/officeDocument/2006/relationships/image" Target="../media/image49.png"/><Relationship Id="rId10" Type="http://schemas.openxmlformats.org/officeDocument/2006/relationships/image" Target="../media/image23.svg"/><Relationship Id="rId19" Type="http://schemas.openxmlformats.org/officeDocument/2006/relationships/image" Target="../media/image32.png"/><Relationship Id="rId31" Type="http://schemas.openxmlformats.org/officeDocument/2006/relationships/image" Target="../media/image44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27.svg"/><Relationship Id="rId22" Type="http://schemas.openxmlformats.org/officeDocument/2006/relationships/image" Target="../media/image35.svg"/><Relationship Id="rId27" Type="http://schemas.openxmlformats.org/officeDocument/2006/relationships/image" Target="../media/image40.svg"/><Relationship Id="rId30" Type="http://schemas.openxmlformats.org/officeDocument/2006/relationships/image" Target="../media/image43.png"/><Relationship Id="rId35" Type="http://schemas.openxmlformats.org/officeDocument/2006/relationships/image" Target="../media/image4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9.png"/><Relationship Id="rId2" Type="http://schemas.openxmlformats.org/officeDocument/2006/relationships/image" Target="../media/image58.jpeg"/><Relationship Id="rId1" Type="http://schemas.openxmlformats.org/officeDocument/2006/relationships/image" Target="../media/image57.jpeg"/><Relationship Id="rId4" Type="http://schemas.openxmlformats.org/officeDocument/2006/relationships/image" Target="../media/image6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12</xdr:row>
      <xdr:rowOff>8029</xdr:rowOff>
    </xdr:from>
    <xdr:to>
      <xdr:col>5</xdr:col>
      <xdr:colOff>219075</xdr:colOff>
      <xdr:row>12</xdr:row>
      <xdr:rowOff>400052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55979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114299</xdr:colOff>
      <xdr:row>4</xdr:row>
      <xdr:rowOff>228513</xdr:rowOff>
    </xdr:from>
    <xdr:to>
      <xdr:col>3</xdr:col>
      <xdr:colOff>790574</xdr:colOff>
      <xdr:row>9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619624" y="1238163"/>
          <a:ext cx="676275" cy="962112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71602</xdr:rowOff>
    </xdr:from>
    <xdr:to>
      <xdr:col>5</xdr:col>
      <xdr:colOff>180975</xdr:colOff>
      <xdr:row>15</xdr:row>
      <xdr:rowOff>180975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414877"/>
          <a:ext cx="733425" cy="309398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21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47626</xdr:rowOff>
    </xdr:from>
    <xdr:to>
      <xdr:col>5</xdr:col>
      <xdr:colOff>180975</xdr:colOff>
      <xdr:row>20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648326"/>
          <a:ext cx="733425" cy="285750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95250</xdr:rowOff>
    </xdr:from>
    <xdr:to>
      <xdr:col>5</xdr:col>
      <xdr:colOff>180975</xdr:colOff>
      <xdr:row>25</xdr:row>
      <xdr:rowOff>171450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8134350"/>
          <a:ext cx="733425" cy="276225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74449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255304</xdr:rowOff>
    </xdr:from>
    <xdr:to>
      <xdr:col>5</xdr:col>
      <xdr:colOff>171448</xdr:colOff>
      <xdr:row>26</xdr:row>
      <xdr:rowOff>523876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246904"/>
          <a:ext cx="708548" cy="268572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255304</xdr:rowOff>
    </xdr:from>
    <xdr:to>
      <xdr:col>5</xdr:col>
      <xdr:colOff>171448</xdr:colOff>
      <xdr:row>21</xdr:row>
      <xdr:rowOff>523876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951379"/>
          <a:ext cx="708548" cy="268572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561975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91050"/>
          <a:ext cx="708548" cy="2857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810001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0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0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533400</xdr:colOff>
      <xdr:row>4</xdr:row>
      <xdr:rowOff>5454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217DA551-BB68-4AD5-93D5-0BE527B1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1813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533400</xdr:colOff>
      <xdr:row>4</xdr:row>
      <xdr:rowOff>5454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11F002D9-EDF6-4978-9E55-AA58FC0F1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4400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</xdr:row>
      <xdr:rowOff>0</xdr:rowOff>
    </xdr:from>
    <xdr:to>
      <xdr:col>11</xdr:col>
      <xdr:colOff>533400</xdr:colOff>
      <xdr:row>4</xdr:row>
      <xdr:rowOff>5454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DB8D3EC7-F9FB-4A38-9524-F8785E10F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</xdr:row>
      <xdr:rowOff>0</xdr:rowOff>
    </xdr:from>
    <xdr:to>
      <xdr:col>10</xdr:col>
      <xdr:colOff>533400</xdr:colOff>
      <xdr:row>4</xdr:row>
      <xdr:rowOff>5454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6A35CABC-0D0E-4E72-B5B2-BC4425FDE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533400</xdr:colOff>
      <xdr:row>4</xdr:row>
      <xdr:rowOff>5454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6320EF1-CD00-43BA-90B8-AE7E0C5A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533400</xdr:colOff>
      <xdr:row>4</xdr:row>
      <xdr:rowOff>538854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1FA96206-F244-4B69-A4F9-C50C63B57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1339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4</xdr:row>
      <xdr:rowOff>0</xdr:rowOff>
    </xdr:from>
    <xdr:to>
      <xdr:col>11</xdr:col>
      <xdr:colOff>533400</xdr:colOff>
      <xdr:row>4</xdr:row>
      <xdr:rowOff>538854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716128D7-1CCE-4F1B-BE1B-C6F6E2FD9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435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4</xdr:row>
      <xdr:rowOff>538854</xdr:rowOff>
    </xdr:to>
    <xdr:pic>
      <xdr:nvPicPr>
        <xdr:cNvPr id="194" name="Picture 193">
          <a:extLst>
            <a:ext uri="{FF2B5EF4-FFF2-40B4-BE49-F238E27FC236}">
              <a16:creationId xmlns:a16="http://schemas.microsoft.com/office/drawing/2014/main" id="{C440594C-CDE9-4083-A2B0-03D337B7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6353175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533400</xdr:colOff>
      <xdr:row>4</xdr:row>
      <xdr:rowOff>5454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C26290D3-A729-43A8-8EC5-777638071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15</xdr:col>
      <xdr:colOff>533400</xdr:colOff>
      <xdr:row>4</xdr:row>
      <xdr:rowOff>5454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9C747535-CC4F-48AA-86AC-A7CA9564B7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533400</xdr:colOff>
      <xdr:row>4</xdr:row>
      <xdr:rowOff>5454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932D6E45-1491-4D2C-808C-64424997D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533400</xdr:colOff>
      <xdr:row>4</xdr:row>
      <xdr:rowOff>5454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1C6F6C8-2F01-43BD-9748-811F6D77A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0011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533400</xdr:colOff>
      <xdr:row>4</xdr:row>
      <xdr:rowOff>5454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41D3CD1-E699-40CB-8664-8721B1188F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96107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533400</xdr:colOff>
      <xdr:row>4</xdr:row>
      <xdr:rowOff>5454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D29D7055-1E09-40A4-B869-A313AFEB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0220325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4</xdr:row>
      <xdr:rowOff>0</xdr:rowOff>
    </xdr:from>
    <xdr:to>
      <xdr:col>14</xdr:col>
      <xdr:colOff>533400</xdr:colOff>
      <xdr:row>4</xdr:row>
      <xdr:rowOff>538854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D29919C1-331E-481B-97ED-9C1D1FF65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0675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15</xdr:col>
      <xdr:colOff>533400</xdr:colOff>
      <xdr:row>4</xdr:row>
      <xdr:rowOff>538854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E50F537-8D64-4FEA-8E5B-9EE260D07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7677150" y="16478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</xdr:row>
      <xdr:rowOff>0</xdr:rowOff>
    </xdr:from>
    <xdr:to>
      <xdr:col>16</xdr:col>
      <xdr:colOff>533400</xdr:colOff>
      <xdr:row>4</xdr:row>
      <xdr:rowOff>538854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8F15A230-ACE6-4927-B876-E2ABF5976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286750" y="16478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6.emf"/><Relationship Id="rId5" Type="http://schemas.openxmlformats.org/officeDocument/2006/relationships/control" Target="../activeX/activeX5.xml"/><Relationship Id="rId4" Type="http://schemas.openxmlformats.org/officeDocument/2006/relationships/image" Target="../media/image5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1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opLeftCell="A19" workbookViewId="0">
      <selection activeCell="D22" sqref="D22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7" customWidth="1"/>
    <col min="8" max="8" width="9.140625" style="47"/>
  </cols>
  <sheetData>
    <row r="1" spans="1:49" ht="25.5" customHeight="1" x14ac:dyDescent="0.25">
      <c r="A1" s="81"/>
      <c r="B1" s="79"/>
      <c r="C1" s="80"/>
      <c r="D1" s="5"/>
      <c r="E1" s="5"/>
      <c r="F1" s="5"/>
      <c r="G1" s="75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1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</row>
    <row r="2" spans="1:49" ht="18" customHeight="1" x14ac:dyDescent="0.25">
      <c r="A2" s="81"/>
      <c r="B2" s="80"/>
      <c r="C2" s="80"/>
      <c r="D2" s="45" t="s">
        <v>71</v>
      </c>
      <c r="E2" s="76">
        <v>12345</v>
      </c>
      <c r="F2" s="5"/>
      <c r="G2" s="75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3">
        <v>2</v>
      </c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</row>
    <row r="3" spans="1:49" ht="19.5" customHeight="1" x14ac:dyDescent="0.25">
      <c r="A3" s="2"/>
      <c r="B3" s="2"/>
      <c r="C3" s="50" t="s">
        <v>73</v>
      </c>
      <c r="D3" s="2"/>
      <c r="E3" s="2"/>
      <c r="F3" s="2"/>
      <c r="G3" s="75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3">
        <v>17</v>
      </c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</row>
    <row r="4" spans="1:49" ht="16.5" customHeight="1" x14ac:dyDescent="0.25">
      <c r="A4" s="78"/>
      <c r="B4" s="4"/>
      <c r="C4" s="46" t="s">
        <v>8</v>
      </c>
      <c r="D4" s="4"/>
      <c r="E4" s="2"/>
      <c r="F4" s="2"/>
      <c r="G4" s="75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3">
        <v>12345</v>
      </c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</row>
    <row r="5" spans="1:49" ht="18" customHeight="1" x14ac:dyDescent="0.25">
      <c r="A5" s="78"/>
      <c r="B5" s="32" t="s">
        <v>0</v>
      </c>
      <c r="C5" s="33" t="s">
        <v>36</v>
      </c>
      <c r="D5" s="30"/>
      <c r="E5" s="2"/>
      <c r="F5" s="2"/>
      <c r="G5" s="75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3" t="s">
        <v>81</v>
      </c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</row>
    <row r="6" spans="1:49" ht="15.75" customHeight="1" x14ac:dyDescent="0.25">
      <c r="A6" s="78"/>
      <c r="B6" s="32" t="s">
        <v>2</v>
      </c>
      <c r="C6" s="34" t="s">
        <v>37</v>
      </c>
      <c r="D6" s="30"/>
      <c r="E6" s="2"/>
      <c r="F6" s="2"/>
      <c r="G6" s="75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</row>
    <row r="7" spans="1:49" ht="15.75" customHeight="1" x14ac:dyDescent="0.25">
      <c r="A7" s="78"/>
      <c r="B7" s="32" t="s">
        <v>4</v>
      </c>
      <c r="C7" s="34" t="s">
        <v>38</v>
      </c>
      <c r="D7" s="30"/>
      <c r="E7" s="2"/>
      <c r="F7" s="2"/>
      <c r="G7" s="75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</row>
    <row r="8" spans="1:49" ht="17.25" customHeight="1" x14ac:dyDescent="0.25">
      <c r="A8" s="78"/>
      <c r="B8" s="32" t="s">
        <v>5</v>
      </c>
      <c r="C8" s="35" t="s">
        <v>39</v>
      </c>
      <c r="D8" s="30"/>
      <c r="E8" s="2"/>
      <c r="F8" s="2"/>
      <c r="G8" s="75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</row>
    <row r="9" spans="1:49" ht="16.5" customHeight="1" x14ac:dyDescent="0.25">
      <c r="A9" s="78"/>
      <c r="B9" s="32" t="s">
        <v>6</v>
      </c>
      <c r="C9" s="36" t="s">
        <v>40</v>
      </c>
      <c r="D9" s="30"/>
      <c r="E9" s="2"/>
      <c r="F9" s="2"/>
      <c r="G9" s="75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</row>
    <row r="10" spans="1:49" ht="15.75" customHeight="1" x14ac:dyDescent="0.25">
      <c r="A10" s="78"/>
      <c r="B10" s="32" t="s">
        <v>7</v>
      </c>
      <c r="C10" s="36" t="s">
        <v>41</v>
      </c>
      <c r="D10" s="30"/>
      <c r="E10" s="2"/>
      <c r="F10" s="2"/>
      <c r="G10" s="75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</row>
    <row r="11" spans="1:49" x14ac:dyDescent="0.25">
      <c r="A11" s="78"/>
      <c r="B11" s="30"/>
      <c r="C11" s="31"/>
      <c r="D11" s="30"/>
      <c r="E11" s="2"/>
      <c r="F11" s="2"/>
      <c r="G11" s="75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</row>
    <row r="12" spans="1:49" x14ac:dyDescent="0.25">
      <c r="A12" s="78"/>
      <c r="B12" s="2"/>
      <c r="C12" s="2"/>
      <c r="D12" s="2"/>
      <c r="E12" s="2"/>
      <c r="F12" s="2"/>
      <c r="G12" s="75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</row>
    <row r="13" spans="1:49" ht="35.25" customHeight="1" x14ac:dyDescent="0.25">
      <c r="A13" s="75"/>
      <c r="B13" s="75"/>
      <c r="C13" s="75"/>
      <c r="D13" s="75"/>
      <c r="E13" s="75"/>
      <c r="F13" s="75"/>
      <c r="G13" s="75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</row>
    <row r="14" spans="1:49" ht="19.5" customHeight="1" x14ac:dyDescent="0.3">
      <c r="A14" s="48" t="s">
        <v>9</v>
      </c>
      <c r="B14" s="4"/>
      <c r="C14" s="77" t="s">
        <v>72</v>
      </c>
      <c r="D14" s="4"/>
      <c r="E14" s="4"/>
      <c r="F14" s="4"/>
      <c r="G14" s="75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</row>
    <row r="15" spans="1:49" ht="15.75" x14ac:dyDescent="0.25">
      <c r="A15" s="29" t="s">
        <v>2</v>
      </c>
      <c r="B15" s="67" t="s">
        <v>16</v>
      </c>
      <c r="C15" s="68" t="s">
        <v>74</v>
      </c>
      <c r="D15" s="69" t="s">
        <v>75</v>
      </c>
      <c r="E15" s="4"/>
      <c r="F15" s="4"/>
      <c r="G15" s="75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</row>
    <row r="16" spans="1:49" ht="60.75" customHeight="1" x14ac:dyDescent="0.25">
      <c r="A16" s="29" t="s">
        <v>10</v>
      </c>
      <c r="B16" s="70"/>
      <c r="C16" s="71"/>
      <c r="D16" s="70"/>
      <c r="E16" s="4"/>
      <c r="F16" s="4"/>
      <c r="G16" s="75"/>
      <c r="H16" s="44"/>
      <c r="I16" s="51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</row>
    <row r="17" spans="1:49" ht="69.75" customHeight="1" x14ac:dyDescent="0.25">
      <c r="A17" s="29" t="s">
        <v>11</v>
      </c>
      <c r="B17" s="70"/>
      <c r="C17" s="70"/>
      <c r="D17" s="70"/>
      <c r="E17" s="4"/>
      <c r="F17" s="4"/>
      <c r="G17" s="75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</row>
    <row r="18" spans="1:49" ht="15.75" x14ac:dyDescent="0.25">
      <c r="A18" s="29" t="s">
        <v>12</v>
      </c>
      <c r="B18" s="74">
        <v>120</v>
      </c>
      <c r="C18" s="74">
        <v>240</v>
      </c>
      <c r="D18" s="74">
        <v>360</v>
      </c>
      <c r="E18" s="4"/>
      <c r="F18" s="4"/>
      <c r="G18" s="75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</row>
    <row r="19" spans="1:49" ht="15.75" x14ac:dyDescent="0.25">
      <c r="A19" s="6"/>
      <c r="B19" s="73"/>
      <c r="C19" s="73"/>
      <c r="D19" s="73"/>
      <c r="E19" s="4"/>
      <c r="F19" s="4"/>
      <c r="G19" s="75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</row>
    <row r="20" spans="1:49" ht="15.75" x14ac:dyDescent="0.25">
      <c r="A20" s="29" t="s">
        <v>2</v>
      </c>
      <c r="B20" s="72" t="s">
        <v>17</v>
      </c>
      <c r="C20" s="68" t="s">
        <v>74</v>
      </c>
      <c r="D20" s="69" t="s">
        <v>75</v>
      </c>
      <c r="E20" s="4"/>
      <c r="F20" s="4"/>
      <c r="G20" s="75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</row>
    <row r="21" spans="1:49" ht="70.5" customHeight="1" x14ac:dyDescent="0.25">
      <c r="A21" s="29" t="s">
        <v>10</v>
      </c>
      <c r="B21" s="70"/>
      <c r="C21" s="70"/>
      <c r="D21" s="70"/>
      <c r="E21" s="4"/>
      <c r="F21" s="4"/>
      <c r="G21" s="75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</row>
    <row r="22" spans="1:49" ht="74.25" customHeight="1" x14ac:dyDescent="0.25">
      <c r="A22" s="29" t="s">
        <v>11</v>
      </c>
      <c r="B22" s="70"/>
      <c r="C22" s="70"/>
      <c r="D22" s="70"/>
      <c r="E22" s="4"/>
      <c r="F22" s="4"/>
      <c r="G22" s="75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</row>
    <row r="23" spans="1:49" ht="15.75" x14ac:dyDescent="0.25">
      <c r="A23" s="29" t="s">
        <v>12</v>
      </c>
      <c r="B23" s="74">
        <v>75</v>
      </c>
      <c r="C23" s="74">
        <v>150</v>
      </c>
      <c r="D23" s="74">
        <v>225</v>
      </c>
      <c r="E23" s="4"/>
      <c r="F23" s="4"/>
      <c r="G23" s="75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</row>
    <row r="24" spans="1:49" ht="15.75" x14ac:dyDescent="0.25">
      <c r="A24" s="6"/>
      <c r="B24" s="73"/>
      <c r="C24" s="73"/>
      <c r="D24" s="73"/>
      <c r="E24" s="4"/>
      <c r="F24" s="4"/>
      <c r="G24" s="75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</row>
    <row r="25" spans="1:49" ht="15.75" x14ac:dyDescent="0.25">
      <c r="A25" s="29" t="s">
        <v>2</v>
      </c>
      <c r="B25" s="72" t="s">
        <v>18</v>
      </c>
      <c r="C25" s="68" t="s">
        <v>74</v>
      </c>
      <c r="D25" s="69" t="s">
        <v>75</v>
      </c>
      <c r="E25" s="4"/>
      <c r="F25" s="4"/>
      <c r="G25" s="75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</row>
    <row r="26" spans="1:49" ht="59.25" customHeight="1" x14ac:dyDescent="0.25">
      <c r="A26" s="29" t="s">
        <v>10</v>
      </c>
      <c r="B26" s="70"/>
      <c r="C26" s="70"/>
      <c r="D26" s="70"/>
      <c r="E26" s="4"/>
      <c r="F26" s="4"/>
      <c r="G26" s="75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</row>
    <row r="27" spans="1:49" ht="74.25" customHeight="1" x14ac:dyDescent="0.25">
      <c r="A27" s="29" t="s">
        <v>11</v>
      </c>
      <c r="B27" s="70"/>
      <c r="C27" s="70"/>
      <c r="D27" s="70"/>
      <c r="E27" s="4"/>
      <c r="F27" s="4"/>
      <c r="G27" s="75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</row>
    <row r="28" spans="1:49" ht="19.5" customHeight="1" x14ac:dyDescent="0.25">
      <c r="A28" s="29" t="s">
        <v>12</v>
      </c>
      <c r="B28" s="74">
        <v>195</v>
      </c>
      <c r="C28" s="74">
        <v>390</v>
      </c>
      <c r="D28" s="74">
        <v>585</v>
      </c>
      <c r="E28" s="4"/>
      <c r="F28" s="4"/>
      <c r="G28" s="75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</row>
    <row r="29" spans="1:49" ht="15.75" x14ac:dyDescent="0.25">
      <c r="A29" s="7"/>
      <c r="B29" s="4"/>
      <c r="C29" s="4"/>
      <c r="D29" s="4"/>
      <c r="E29" s="4"/>
      <c r="F29" s="4"/>
      <c r="G29" s="75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</row>
    <row r="30" spans="1:49" x14ac:dyDescent="0.25">
      <c r="A30" s="75"/>
      <c r="B30" s="75"/>
      <c r="C30" s="75"/>
      <c r="D30" s="75"/>
      <c r="E30" s="75"/>
      <c r="F30" s="75"/>
      <c r="G30" s="75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</row>
    <row r="31" spans="1:49" x14ac:dyDescent="0.25">
      <c r="A31" s="75"/>
      <c r="B31" s="75"/>
      <c r="C31" s="75"/>
      <c r="D31" s="75"/>
      <c r="E31" s="75"/>
      <c r="F31" s="75"/>
      <c r="G31" s="75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</row>
    <row r="32" spans="1:49" x14ac:dyDescent="0.25">
      <c r="A32" s="75"/>
      <c r="B32" s="75"/>
      <c r="C32" s="75"/>
      <c r="D32" s="75"/>
      <c r="E32" s="75"/>
      <c r="F32" s="75"/>
      <c r="G32" s="75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</row>
    <row r="33" spans="1:4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</row>
    <row r="34" spans="1:4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</row>
    <row r="35" spans="1:4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</row>
    <row r="36" spans="1:4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</row>
    <row r="37" spans="1:4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</row>
    <row r="38" spans="1:4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</row>
    <row r="39" spans="1:4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</row>
    <row r="40" spans="1:4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</row>
    <row r="41" spans="1:4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</row>
    <row r="42" spans="1:4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</row>
    <row r="43" spans="1:4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</row>
    <row r="44" spans="1:49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</row>
    <row r="45" spans="1:49" x14ac:dyDescent="0.25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</row>
    <row r="46" spans="1:49" x14ac:dyDescent="0.25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</row>
    <row r="47" spans="1:49" x14ac:dyDescent="0.25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</row>
    <row r="48" spans="1:49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</row>
    <row r="49" spans="1:33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</row>
    <row r="50" spans="1:33" x14ac:dyDescent="0.25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</row>
    <row r="51" spans="1:33" x14ac:dyDescent="0.25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</row>
    <row r="52" spans="1:33" x14ac:dyDescent="0.25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</row>
    <row r="53" spans="1:33" x14ac:dyDescent="0.25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</row>
    <row r="54" spans="1:33" x14ac:dyDescent="0.25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</row>
    <row r="55" spans="1:33" x14ac:dyDescent="0.25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</row>
    <row r="56" spans="1:33" x14ac:dyDescent="0.25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</row>
    <row r="57" spans="1:33" x14ac:dyDescent="0.25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</row>
    <row r="58" spans="1:33" x14ac:dyDescent="0.25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</row>
    <row r="59" spans="1:33" x14ac:dyDescent="0.25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</row>
    <row r="60" spans="1:33" x14ac:dyDescent="0.25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</row>
    <row r="61" spans="1:33" x14ac:dyDescent="0.25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</row>
    <row r="62" spans="1:33" x14ac:dyDescent="0.25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</row>
    <row r="63" spans="1:33" x14ac:dyDescent="0.25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</row>
    <row r="64" spans="1:33" x14ac:dyDescent="0.25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</row>
    <row r="65" spans="1:33" x14ac:dyDescent="0.25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</row>
    <row r="66" spans="1:33" x14ac:dyDescent="0.25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</row>
    <row r="67" spans="1:33" x14ac:dyDescent="0.25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</row>
    <row r="68" spans="1:33" x14ac:dyDescent="0.25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</row>
    <row r="69" spans="1:33" x14ac:dyDescent="0.25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</row>
    <row r="70" spans="1:33" x14ac:dyDescent="0.25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</row>
    <row r="71" spans="1:33" x14ac:dyDescent="0.25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</row>
    <row r="72" spans="1:33" x14ac:dyDescent="0.25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</row>
    <row r="73" spans="1:33" x14ac:dyDescent="0.25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</row>
    <row r="74" spans="1:33" x14ac:dyDescent="0.25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</row>
    <row r="75" spans="1:33" x14ac:dyDescent="0.25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</row>
    <row r="76" spans="1:33" x14ac:dyDescent="0.25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</row>
    <row r="77" spans="1:33" x14ac:dyDescent="0.25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</row>
    <row r="78" spans="1:33" x14ac:dyDescent="0.25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</row>
    <row r="79" spans="1:33" x14ac:dyDescent="0.25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</row>
    <row r="80" spans="1:33" x14ac:dyDescent="0.25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</row>
    <row r="81" spans="1:33" x14ac:dyDescent="0.25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</row>
    <row r="82" spans="1:33" x14ac:dyDescent="0.25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</row>
    <row r="83" spans="1:33" x14ac:dyDescent="0.25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</row>
    <row r="84" spans="1:33" x14ac:dyDescent="0.25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</row>
    <row r="85" spans="1:33" x14ac:dyDescent="0.25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</row>
    <row r="86" spans="1:33" x14ac:dyDescent="0.25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</row>
    <row r="87" spans="1:33" x14ac:dyDescent="0.25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</row>
    <row r="88" spans="1:33" x14ac:dyDescent="0.25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</row>
    <row r="89" spans="1:33" x14ac:dyDescent="0.25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</row>
    <row r="90" spans="1:33" x14ac:dyDescent="0.25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</row>
    <row r="91" spans="1:33" x14ac:dyDescent="0.25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</row>
    <row r="92" spans="1:33" x14ac:dyDescent="0.25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</row>
    <row r="93" spans="1:33" x14ac:dyDescent="0.25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</row>
    <row r="94" spans="1:33" x14ac:dyDescent="0.25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</row>
    <row r="95" spans="1:33" x14ac:dyDescent="0.25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</row>
    <row r="96" spans="1:33" x14ac:dyDescent="0.25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</row>
    <row r="97" spans="1:33" x14ac:dyDescent="0.25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</row>
    <row r="98" spans="1:33" x14ac:dyDescent="0.25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</row>
    <row r="99" spans="1:33" x14ac:dyDescent="0.2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</row>
    <row r="100" spans="1:33" x14ac:dyDescent="0.2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</row>
    <row r="101" spans="1:33" x14ac:dyDescent="0.2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</row>
    <row r="102" spans="1:33" x14ac:dyDescent="0.2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</row>
    <row r="103" spans="1:33" x14ac:dyDescent="0.2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</row>
    <row r="104" spans="1:33" x14ac:dyDescent="0.2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</row>
    <row r="105" spans="1:33" x14ac:dyDescent="0.25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</row>
    <row r="106" spans="1:33" x14ac:dyDescent="0.25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</row>
    <row r="107" spans="1:33" x14ac:dyDescent="0.25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</row>
    <row r="108" spans="1:33" x14ac:dyDescent="0.25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</row>
    <row r="109" spans="1:33" x14ac:dyDescent="0.25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</row>
    <row r="110" spans="1:33" x14ac:dyDescent="0.25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</row>
    <row r="111" spans="1:33" x14ac:dyDescent="0.25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</row>
    <row r="112" spans="1:33" x14ac:dyDescent="0.25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</row>
    <row r="113" spans="1:33" x14ac:dyDescent="0.25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</row>
    <row r="114" spans="1:33" x14ac:dyDescent="0.25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</row>
    <row r="115" spans="1:33" x14ac:dyDescent="0.25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</row>
    <row r="116" spans="1:33" x14ac:dyDescent="0.25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</row>
    <row r="117" spans="1:33" x14ac:dyDescent="0.25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</row>
    <row r="118" spans="1:33" x14ac:dyDescent="0.25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</row>
    <row r="119" spans="1:33" x14ac:dyDescent="0.25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</row>
    <row r="120" spans="1:33" x14ac:dyDescent="0.25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</row>
    <row r="121" spans="1:33" x14ac:dyDescent="0.25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</row>
    <row r="122" spans="1:33" x14ac:dyDescent="0.25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</row>
    <row r="123" spans="1:33" x14ac:dyDescent="0.25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</row>
    <row r="124" spans="1:33" x14ac:dyDescent="0.25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</row>
    <row r="125" spans="1:33" x14ac:dyDescent="0.25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</row>
    <row r="126" spans="1:33" x14ac:dyDescent="0.25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</row>
    <row r="127" spans="1:33" x14ac:dyDescent="0.25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</row>
    <row r="128" spans="1:33" x14ac:dyDescent="0.25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</row>
    <row r="129" spans="1:33" x14ac:dyDescent="0.25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</row>
    <row r="130" spans="1:33" x14ac:dyDescent="0.25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</row>
    <row r="131" spans="1:33" x14ac:dyDescent="0.25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</row>
    <row r="132" spans="1:33" x14ac:dyDescent="0.25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</row>
    <row r="133" spans="1:33" x14ac:dyDescent="0.25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</row>
    <row r="134" spans="1:33" x14ac:dyDescent="0.25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</row>
    <row r="135" spans="1:33" x14ac:dyDescent="0.25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</row>
    <row r="136" spans="1:33" x14ac:dyDescent="0.25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</row>
    <row r="137" spans="1:33" x14ac:dyDescent="0.25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</row>
    <row r="138" spans="1:33" x14ac:dyDescent="0.25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</row>
    <row r="139" spans="1:33" x14ac:dyDescent="0.25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</row>
    <row r="140" spans="1:33" x14ac:dyDescent="0.25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6" customWidth="1"/>
    <col min="65" max="65" width="1.7109375" style="16" customWidth="1"/>
  </cols>
  <sheetData>
    <row r="1" spans="1:69" x14ac:dyDescent="0.25">
      <c r="G1" s="9" t="s">
        <v>13</v>
      </c>
      <c r="H1" t="s">
        <v>14</v>
      </c>
      <c r="AN1" t="s">
        <v>15</v>
      </c>
    </row>
    <row r="2" spans="1:69" s="8" customFormat="1" ht="24" customHeight="1" x14ac:dyDescent="0.25">
      <c r="H2" s="82" t="s">
        <v>16</v>
      </c>
      <c r="I2" s="83"/>
      <c r="J2" s="83"/>
      <c r="L2" s="83" t="s">
        <v>17</v>
      </c>
      <c r="M2" s="83"/>
      <c r="N2" s="83"/>
      <c r="P2" s="83" t="s">
        <v>18</v>
      </c>
      <c r="Q2" s="83"/>
      <c r="R2" s="83"/>
      <c r="T2" s="83" t="s">
        <v>19</v>
      </c>
      <c r="U2" s="83"/>
      <c r="V2" s="83"/>
      <c r="X2" s="83" t="s">
        <v>20</v>
      </c>
      <c r="Y2" s="83"/>
      <c r="Z2" s="83"/>
      <c r="AB2" s="83" t="s">
        <v>21</v>
      </c>
      <c r="AC2" s="83"/>
      <c r="AD2" s="83"/>
      <c r="AF2" s="83" t="s">
        <v>22</v>
      </c>
      <c r="AG2" s="83"/>
      <c r="AH2" s="83"/>
      <c r="AJ2" s="83" t="s">
        <v>23</v>
      </c>
      <c r="AK2" s="83"/>
      <c r="AL2" s="83"/>
      <c r="AN2" s="83" t="s">
        <v>24</v>
      </c>
      <c r="AO2" s="83"/>
      <c r="AP2" s="83"/>
      <c r="AR2" s="83" t="s">
        <v>25</v>
      </c>
      <c r="AS2" s="83"/>
      <c r="AT2" s="83"/>
      <c r="AV2" s="85"/>
      <c r="AW2" s="85"/>
      <c r="AX2" s="85"/>
      <c r="AZ2" s="85"/>
      <c r="BA2" s="85"/>
      <c r="BB2" s="85"/>
      <c r="BD2" s="85"/>
      <c r="BE2" s="85"/>
      <c r="BF2" s="85"/>
      <c r="BH2" s="15" t="s">
        <v>26</v>
      </c>
      <c r="BI2" s="16"/>
      <c r="BJ2" s="84" t="s">
        <v>27</v>
      </c>
      <c r="BK2" s="84"/>
      <c r="BL2" s="84"/>
      <c r="BM2" s="16"/>
      <c r="BN2" s="84" t="s">
        <v>28</v>
      </c>
      <c r="BO2" s="84"/>
      <c r="BP2" s="84"/>
      <c r="BQ2"/>
    </row>
    <row r="3" spans="1:69" s="13" customFormat="1" ht="26.45" customHeight="1" x14ac:dyDescent="0.25">
      <c r="A3" s="28" t="s">
        <v>0</v>
      </c>
      <c r="B3" s="28" t="s">
        <v>2</v>
      </c>
      <c r="C3" s="28" t="s">
        <v>4</v>
      </c>
      <c r="D3" s="28" t="s">
        <v>5</v>
      </c>
      <c r="E3" s="28" t="s">
        <v>6</v>
      </c>
      <c r="F3" s="28" t="s">
        <v>7</v>
      </c>
      <c r="G3" s="12" t="s">
        <v>29</v>
      </c>
      <c r="H3" s="13" t="s">
        <v>30</v>
      </c>
      <c r="I3" s="13" t="s">
        <v>31</v>
      </c>
      <c r="J3" s="13" t="s">
        <v>32</v>
      </c>
      <c r="L3" s="13" t="s">
        <v>30</v>
      </c>
      <c r="M3" s="13" t="s">
        <v>31</v>
      </c>
      <c r="N3" s="13" t="s">
        <v>32</v>
      </c>
      <c r="P3" s="13" t="s">
        <v>30</v>
      </c>
      <c r="Q3" s="13" t="s">
        <v>31</v>
      </c>
      <c r="R3" s="13" t="s">
        <v>32</v>
      </c>
      <c r="T3" s="13" t="s">
        <v>30</v>
      </c>
      <c r="U3" s="13" t="s">
        <v>31</v>
      </c>
      <c r="V3" s="13" t="s">
        <v>32</v>
      </c>
      <c r="X3" s="13" t="s">
        <v>30</v>
      </c>
      <c r="Y3" s="13" t="s">
        <v>31</v>
      </c>
      <c r="Z3" s="13" t="s">
        <v>32</v>
      </c>
      <c r="AB3" s="13" t="s">
        <v>30</v>
      </c>
      <c r="AC3" s="13" t="s">
        <v>31</v>
      </c>
      <c r="AD3" s="13" t="s">
        <v>32</v>
      </c>
      <c r="AF3" s="13" t="s">
        <v>33</v>
      </c>
      <c r="AG3" s="13" t="s">
        <v>34</v>
      </c>
      <c r="AH3" s="13" t="s">
        <v>35</v>
      </c>
      <c r="AJ3" s="13" t="s">
        <v>33</v>
      </c>
      <c r="AK3" s="13" t="s">
        <v>34</v>
      </c>
      <c r="AL3" s="13" t="s">
        <v>35</v>
      </c>
      <c r="AN3" s="13" t="s">
        <v>30</v>
      </c>
      <c r="AO3" s="13" t="s">
        <v>31</v>
      </c>
      <c r="AP3" s="13" t="s">
        <v>32</v>
      </c>
      <c r="AR3" s="13" t="s">
        <v>30</v>
      </c>
      <c r="AS3" s="13" t="s">
        <v>31</v>
      </c>
      <c r="AT3" s="13" t="s">
        <v>32</v>
      </c>
      <c r="AV3" s="13" t="s">
        <v>30</v>
      </c>
      <c r="AW3" s="13" t="s">
        <v>31</v>
      </c>
      <c r="AX3" s="13" t="s">
        <v>32</v>
      </c>
      <c r="AZ3" s="13" t="s">
        <v>30</v>
      </c>
      <c r="BA3" s="13" t="s">
        <v>31</v>
      </c>
      <c r="BB3" s="13" t="s">
        <v>32</v>
      </c>
      <c r="BD3" s="13" t="s">
        <v>30</v>
      </c>
      <c r="BE3" s="13" t="s">
        <v>31</v>
      </c>
      <c r="BF3" s="13" t="s">
        <v>32</v>
      </c>
      <c r="BG3"/>
      <c r="BH3" s="8"/>
      <c r="BI3" s="17"/>
      <c r="BJ3" s="8" t="s">
        <v>30</v>
      </c>
      <c r="BK3" s="8" t="s">
        <v>31</v>
      </c>
      <c r="BL3" s="8" t="s">
        <v>32</v>
      </c>
      <c r="BM3" s="17"/>
      <c r="BN3" s="8" t="s">
        <v>30</v>
      </c>
      <c r="BO3" s="8" t="s">
        <v>31</v>
      </c>
      <c r="BP3" s="8" t="s">
        <v>32</v>
      </c>
      <c r="BQ3" s="8"/>
    </row>
    <row r="4" spans="1:69" s="23" customFormat="1" x14ac:dyDescent="0.25">
      <c r="A4" s="1" t="s">
        <v>1</v>
      </c>
      <c r="B4" s="1" t="s">
        <v>3</v>
      </c>
      <c r="C4" s="1"/>
      <c r="D4" s="1"/>
      <c r="E4" s="1"/>
      <c r="F4" s="1"/>
      <c r="G4" s="24"/>
      <c r="H4" s="25">
        <v>120</v>
      </c>
      <c r="I4" s="25">
        <v>240</v>
      </c>
      <c r="J4" s="25">
        <v>360</v>
      </c>
      <c r="L4" s="23">
        <v>75</v>
      </c>
      <c r="M4" s="23">
        <v>150</v>
      </c>
      <c r="N4" s="23">
        <v>225</v>
      </c>
      <c r="P4" s="23">
        <f t="shared" ref="P4:R6" si="0">H4+L4</f>
        <v>195</v>
      </c>
      <c r="Q4" s="23">
        <f t="shared" si="0"/>
        <v>390</v>
      </c>
      <c r="R4" s="23">
        <f t="shared" si="0"/>
        <v>585</v>
      </c>
      <c r="T4" s="23">
        <v>135</v>
      </c>
      <c r="U4" s="23">
        <f>T4*2</f>
        <v>270</v>
      </c>
      <c r="V4" s="23">
        <f>T4*3</f>
        <v>405</v>
      </c>
      <c r="X4" s="23">
        <v>125</v>
      </c>
      <c r="Y4" s="23">
        <f>X4*2</f>
        <v>250</v>
      </c>
      <c r="Z4" s="23">
        <f>X4*3</f>
        <v>375</v>
      </c>
      <c r="AB4" s="23">
        <v>75</v>
      </c>
      <c r="AC4" s="23">
        <f>AB4*2</f>
        <v>150</v>
      </c>
      <c r="AD4" s="23">
        <f>AB4*3</f>
        <v>225</v>
      </c>
      <c r="AF4" s="23">
        <v>75</v>
      </c>
      <c r="AG4" s="23">
        <f>AF4*2</f>
        <v>150</v>
      </c>
      <c r="AH4" s="23">
        <f>AF4*3</f>
        <v>225</v>
      </c>
      <c r="AJ4" s="23">
        <v>95</v>
      </c>
      <c r="AK4" s="23">
        <f>AJ4*2</f>
        <v>190</v>
      </c>
      <c r="AL4" s="23">
        <f>AJ4*3</f>
        <v>285</v>
      </c>
      <c r="AN4" s="23">
        <v>150</v>
      </c>
      <c r="AO4" s="23">
        <f>AN4*2</f>
        <v>300</v>
      </c>
      <c r="AP4" s="23">
        <f>AN4*3</f>
        <v>450</v>
      </c>
      <c r="AR4" s="23">
        <v>75</v>
      </c>
      <c r="AS4" s="23">
        <f>AR4*2</f>
        <v>150</v>
      </c>
      <c r="AT4" s="23">
        <f>AR4*3</f>
        <v>225</v>
      </c>
      <c r="BI4" s="26"/>
      <c r="BM4" s="26"/>
      <c r="BQ4" s="27"/>
    </row>
    <row r="5" spans="1:69" s="23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4"/>
      <c r="H5" s="25">
        <v>120</v>
      </c>
      <c r="I5" s="25">
        <v>240</v>
      </c>
      <c r="J5" s="25">
        <v>360</v>
      </c>
      <c r="L5" s="23">
        <v>75</v>
      </c>
      <c r="M5" s="23">
        <v>150</v>
      </c>
      <c r="N5" s="23">
        <v>225</v>
      </c>
      <c r="P5" s="23">
        <v>195</v>
      </c>
      <c r="Q5" s="23">
        <v>390</v>
      </c>
      <c r="R5" s="23">
        <v>585</v>
      </c>
      <c r="T5" s="23">
        <v>135</v>
      </c>
      <c r="U5" s="23">
        <f>T5*2</f>
        <v>270</v>
      </c>
      <c r="V5" s="23">
        <f>T5*3</f>
        <v>405</v>
      </c>
      <c r="X5" s="23">
        <v>125</v>
      </c>
      <c r="Y5" s="23">
        <f>X5*2</f>
        <v>250</v>
      </c>
      <c r="Z5" s="23">
        <f>X5*3</f>
        <v>375</v>
      </c>
      <c r="AB5" s="23">
        <v>75</v>
      </c>
      <c r="AC5" s="23">
        <f>AB5*2</f>
        <v>150</v>
      </c>
      <c r="AD5" s="23">
        <f>AB5*3</f>
        <v>225</v>
      </c>
      <c r="AF5" s="23">
        <v>75</v>
      </c>
      <c r="AG5" s="23">
        <f>AF5*2</f>
        <v>150</v>
      </c>
      <c r="AH5" s="23">
        <f>AF5*3</f>
        <v>225</v>
      </c>
      <c r="AJ5" s="23">
        <v>95</v>
      </c>
      <c r="AK5" s="23">
        <f>AJ5*2</f>
        <v>190</v>
      </c>
      <c r="AL5" s="23">
        <f>AJ5*3</f>
        <v>285</v>
      </c>
      <c r="AN5" s="23">
        <v>150</v>
      </c>
      <c r="AO5" s="23">
        <f>AN5*2</f>
        <v>300</v>
      </c>
      <c r="AP5" s="23">
        <f>AN5*3</f>
        <v>450</v>
      </c>
      <c r="AR5" s="23">
        <v>75</v>
      </c>
      <c r="AS5" s="23">
        <f>AR5*2</f>
        <v>150</v>
      </c>
      <c r="AT5" s="23">
        <f>AR5*3</f>
        <v>225</v>
      </c>
      <c r="BI5" s="26"/>
      <c r="BM5" s="26"/>
      <c r="BQ5" s="27"/>
    </row>
    <row r="6" spans="1:69" s="23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5">
        <v>100</v>
      </c>
      <c r="I6" s="25">
        <v>200</v>
      </c>
      <c r="J6" s="25">
        <v>300</v>
      </c>
      <c r="L6" s="23">
        <v>60</v>
      </c>
      <c r="M6" s="23">
        <v>120</v>
      </c>
      <c r="N6" s="23">
        <v>180</v>
      </c>
      <c r="P6" s="23">
        <f t="shared" si="0"/>
        <v>160</v>
      </c>
      <c r="Q6" s="23">
        <f t="shared" si="0"/>
        <v>320</v>
      </c>
      <c r="R6" s="23">
        <f t="shared" si="0"/>
        <v>480</v>
      </c>
      <c r="T6" s="23">
        <v>110</v>
      </c>
      <c r="U6" s="23">
        <f>T6*2</f>
        <v>220</v>
      </c>
      <c r="V6" s="23">
        <f>T6*3</f>
        <v>330</v>
      </c>
      <c r="X6" s="23">
        <v>105</v>
      </c>
      <c r="Y6" s="23">
        <f>X6*2</f>
        <v>210</v>
      </c>
      <c r="Z6" s="23">
        <f>X6*3</f>
        <v>315</v>
      </c>
      <c r="AB6" s="23">
        <v>50</v>
      </c>
      <c r="AC6" s="23">
        <f>AB6*2</f>
        <v>100</v>
      </c>
      <c r="AD6" s="23">
        <f>AB6*3</f>
        <v>150</v>
      </c>
      <c r="AF6" s="23">
        <v>50</v>
      </c>
      <c r="AG6" s="23">
        <f>AF6*2</f>
        <v>100</v>
      </c>
      <c r="AH6" s="23">
        <f>AF6*3</f>
        <v>150</v>
      </c>
      <c r="AJ6" s="23">
        <v>75</v>
      </c>
      <c r="AK6" s="23">
        <f>AJ6*2</f>
        <v>150</v>
      </c>
      <c r="AL6" s="23">
        <f>AJ6*3</f>
        <v>225</v>
      </c>
      <c r="AN6" s="23">
        <v>105</v>
      </c>
      <c r="AO6" s="23">
        <f>AN6*2</f>
        <v>210</v>
      </c>
      <c r="AP6" s="23">
        <f>AN6*3</f>
        <v>315</v>
      </c>
      <c r="AR6" s="23">
        <v>69.5</v>
      </c>
      <c r="AS6" s="23">
        <f>AR6*2</f>
        <v>139</v>
      </c>
      <c r="AT6" s="23">
        <f>AR6*3</f>
        <v>208.5</v>
      </c>
      <c r="BI6" s="26"/>
      <c r="BM6" s="26"/>
      <c r="BQ6" s="27"/>
    </row>
    <row r="7" spans="1:69" s="23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3">
        <v>120</v>
      </c>
      <c r="I7" s="23">
        <v>240</v>
      </c>
      <c r="J7" s="23">
        <v>360</v>
      </c>
      <c r="BI7" s="26"/>
      <c r="BM7" s="26"/>
    </row>
    <row r="8" spans="1:69" s="23" customFormat="1" x14ac:dyDescent="0.25">
      <c r="A8" s="1"/>
      <c r="B8" s="1"/>
      <c r="C8" s="1"/>
      <c r="D8" s="1"/>
      <c r="E8" s="1"/>
      <c r="F8" s="1"/>
      <c r="BI8" s="26"/>
      <c r="BM8" s="26"/>
    </row>
    <row r="9" spans="1:69" s="23" customFormat="1" x14ac:dyDescent="0.25">
      <c r="A9" s="1"/>
      <c r="B9" s="1"/>
      <c r="C9" s="1"/>
      <c r="D9" s="1"/>
      <c r="E9" s="1"/>
      <c r="F9" s="1"/>
      <c r="BI9" s="26"/>
      <c r="BM9" s="26"/>
    </row>
    <row r="10" spans="1:69" s="23" customFormat="1" x14ac:dyDescent="0.25">
      <c r="A10" s="1"/>
      <c r="B10" s="1"/>
      <c r="C10" s="1"/>
      <c r="D10" s="1"/>
      <c r="E10" s="1"/>
      <c r="F10" s="1"/>
      <c r="BI10" s="26"/>
      <c r="BM10" s="26"/>
    </row>
    <row r="11" spans="1:69" s="23" customFormat="1" x14ac:dyDescent="0.25">
      <c r="A11" s="1"/>
      <c r="B11" s="1"/>
      <c r="C11" s="1"/>
      <c r="D11" s="1"/>
      <c r="E11" s="1"/>
      <c r="F11" s="1"/>
      <c r="BI11" s="26"/>
      <c r="BM11" s="26"/>
    </row>
    <row r="12" spans="1:69" s="23" customFormat="1" x14ac:dyDescent="0.25">
      <c r="A12" s="1"/>
      <c r="B12" s="1"/>
      <c r="C12" s="1"/>
      <c r="D12" s="1"/>
      <c r="E12" s="1"/>
      <c r="F12" s="1"/>
      <c r="BI12" s="26"/>
      <c r="BM12" s="26"/>
    </row>
    <row r="13" spans="1:69" s="23" customFormat="1" x14ac:dyDescent="0.25">
      <c r="A13" s="1"/>
      <c r="B13" s="1"/>
      <c r="C13" s="1"/>
      <c r="D13" s="1"/>
      <c r="E13" s="1"/>
      <c r="F13" s="1"/>
      <c r="BI13" s="26"/>
      <c r="BM13" s="26"/>
    </row>
    <row r="14" spans="1:69" s="23" customFormat="1" x14ac:dyDescent="0.25">
      <c r="A14" s="1"/>
      <c r="B14" s="1"/>
      <c r="C14" s="1"/>
      <c r="D14" s="1"/>
      <c r="E14" s="1"/>
      <c r="F14" s="1"/>
      <c r="BI14" s="26"/>
      <c r="BM14" s="26"/>
    </row>
    <row r="15" spans="1:69" s="23" customFormat="1" x14ac:dyDescent="0.25">
      <c r="A15" s="1"/>
      <c r="B15" s="1"/>
      <c r="C15" s="1"/>
      <c r="D15" s="1"/>
      <c r="E15" s="1"/>
      <c r="F15" s="1"/>
      <c r="BI15" s="26"/>
      <c r="BM15" s="26"/>
    </row>
    <row r="16" spans="1:69" s="23" customFormat="1" x14ac:dyDescent="0.25">
      <c r="A16" s="1"/>
      <c r="B16" s="1"/>
      <c r="C16" s="1"/>
      <c r="D16" s="1"/>
      <c r="E16" s="1"/>
      <c r="F16" s="1"/>
      <c r="BI16" s="26"/>
      <c r="BM16" s="26"/>
    </row>
    <row r="17" spans="1:65" s="23" customFormat="1" x14ac:dyDescent="0.25">
      <c r="A17" s="1"/>
      <c r="B17" s="1"/>
      <c r="C17" s="1"/>
      <c r="D17" s="1"/>
      <c r="E17" s="1"/>
      <c r="F17" s="1"/>
      <c r="BI17" s="26"/>
      <c r="BM17" s="26"/>
    </row>
    <row r="18" spans="1:65" s="23" customFormat="1" x14ac:dyDescent="0.25">
      <c r="A18" s="1"/>
      <c r="B18" s="1"/>
      <c r="C18" s="1"/>
      <c r="D18" s="1"/>
      <c r="E18" s="1"/>
      <c r="F18" s="1"/>
      <c r="BI18" s="26"/>
      <c r="BM18" s="26"/>
    </row>
    <row r="19" spans="1:65" s="23" customFormat="1" x14ac:dyDescent="0.25">
      <c r="A19" s="1"/>
      <c r="B19" s="1"/>
      <c r="C19" s="1"/>
      <c r="D19" s="1"/>
      <c r="E19" s="1"/>
      <c r="F19" s="1"/>
      <c r="BI19" s="26"/>
      <c r="BM19" s="26"/>
    </row>
    <row r="20" spans="1:65" s="23" customFormat="1" x14ac:dyDescent="0.25">
      <c r="A20" s="1"/>
      <c r="B20" s="1"/>
      <c r="C20" s="1"/>
      <c r="D20" s="1"/>
      <c r="E20" s="1"/>
      <c r="F20" s="1"/>
      <c r="BI20" s="26"/>
      <c r="BM20" s="26"/>
    </row>
    <row r="21" spans="1:65" s="23" customFormat="1" x14ac:dyDescent="0.25">
      <c r="A21" s="1"/>
      <c r="B21" s="1"/>
      <c r="C21" s="1"/>
      <c r="D21" s="1"/>
      <c r="E21" s="1"/>
      <c r="F21" s="1"/>
      <c r="BI21" s="26"/>
      <c r="BM21" s="26"/>
    </row>
    <row r="22" spans="1:65" s="23" customFormat="1" x14ac:dyDescent="0.25">
      <c r="A22" s="1"/>
      <c r="B22" s="1"/>
      <c r="C22" s="1"/>
      <c r="D22" s="1"/>
      <c r="E22" s="1"/>
      <c r="F22" s="1"/>
      <c r="BI22" s="26"/>
      <c r="BM22" s="26"/>
    </row>
    <row r="23" spans="1:65" s="23" customFormat="1" x14ac:dyDescent="0.25">
      <c r="A23" s="1"/>
      <c r="B23" s="1"/>
      <c r="C23" s="1"/>
      <c r="D23" s="1"/>
      <c r="E23" s="1"/>
      <c r="F23" s="1"/>
      <c r="BI23" s="26"/>
      <c r="BM23" s="26"/>
    </row>
    <row r="24" spans="1:65" s="23" customFormat="1" x14ac:dyDescent="0.25">
      <c r="A24" s="1"/>
      <c r="B24" s="1"/>
      <c r="C24" s="1"/>
      <c r="D24" s="1"/>
      <c r="E24" s="1"/>
      <c r="F24" s="1"/>
      <c r="BI24" s="26"/>
      <c r="BM24" s="26"/>
    </row>
    <row r="25" spans="1:65" s="23" customFormat="1" x14ac:dyDescent="0.25">
      <c r="A25" s="1"/>
      <c r="B25" s="1"/>
      <c r="C25" s="1"/>
      <c r="D25" s="1"/>
      <c r="E25" s="1"/>
      <c r="F25" s="1"/>
      <c r="BI25" s="26"/>
      <c r="BM25" s="26"/>
    </row>
    <row r="26" spans="1:65" s="23" customFormat="1" x14ac:dyDescent="0.25">
      <c r="A26" s="1"/>
      <c r="B26" s="1"/>
      <c r="C26" s="1"/>
      <c r="D26" s="1"/>
      <c r="E26" s="1"/>
      <c r="F26" s="1"/>
      <c r="BI26" s="26"/>
      <c r="BM26" s="26"/>
    </row>
    <row r="27" spans="1:65" s="23" customFormat="1" x14ac:dyDescent="0.25">
      <c r="A27" s="1"/>
      <c r="B27" s="1"/>
      <c r="C27" s="1"/>
      <c r="D27" s="1"/>
      <c r="E27" s="1"/>
      <c r="F27" s="1"/>
      <c r="BI27" s="26"/>
      <c r="BM27" s="26"/>
    </row>
    <row r="28" spans="1:65" s="23" customFormat="1" x14ac:dyDescent="0.25">
      <c r="A28" s="1"/>
      <c r="B28" s="1"/>
      <c r="C28" s="1"/>
      <c r="D28" s="1"/>
      <c r="E28" s="1"/>
      <c r="F28" s="1"/>
      <c r="BI28" s="26"/>
      <c r="BM28" s="26"/>
    </row>
    <row r="29" spans="1:65" s="23" customFormat="1" x14ac:dyDescent="0.25">
      <c r="A29" s="1"/>
      <c r="B29" s="1"/>
      <c r="C29" s="1"/>
      <c r="D29" s="1"/>
      <c r="E29" s="1"/>
      <c r="F29" s="1"/>
      <c r="BI29" s="26"/>
      <c r="BM29" s="26"/>
    </row>
    <row r="30" spans="1:65" s="23" customFormat="1" x14ac:dyDescent="0.25">
      <c r="A30" s="1"/>
      <c r="B30" s="1"/>
      <c r="C30" s="1"/>
      <c r="D30" s="1"/>
      <c r="E30" s="1"/>
      <c r="F30" s="1"/>
      <c r="BI30" s="26"/>
      <c r="BM30" s="26"/>
    </row>
    <row r="31" spans="1:65" s="23" customFormat="1" x14ac:dyDescent="0.25">
      <c r="A31" s="1"/>
      <c r="B31" s="1"/>
      <c r="C31" s="1"/>
      <c r="D31" s="1"/>
      <c r="E31" s="1"/>
      <c r="F31" s="1"/>
      <c r="BI31" s="26"/>
      <c r="BM31" s="26"/>
    </row>
    <row r="32" spans="1:65" s="23" customFormat="1" x14ac:dyDescent="0.25">
      <c r="A32" s="1"/>
      <c r="B32" s="1"/>
      <c r="C32" s="1"/>
      <c r="D32" s="1"/>
      <c r="E32" s="1"/>
      <c r="F32" s="1"/>
      <c r="BI32" s="26"/>
      <c r="BM32" s="26"/>
    </row>
    <row r="33" spans="1:65" s="23" customFormat="1" x14ac:dyDescent="0.25">
      <c r="A33" s="1"/>
      <c r="B33" s="1"/>
      <c r="C33" s="1"/>
      <c r="D33" s="1"/>
      <c r="E33" s="1"/>
      <c r="F33" s="1"/>
      <c r="BI33" s="26"/>
      <c r="BM33" s="26"/>
    </row>
    <row r="34" spans="1:65" s="23" customFormat="1" x14ac:dyDescent="0.25">
      <c r="A34" s="1"/>
      <c r="B34" s="1"/>
      <c r="C34" s="1"/>
      <c r="D34" s="1"/>
      <c r="E34" s="1"/>
      <c r="F34" s="1"/>
      <c r="BI34" s="26"/>
      <c r="BM34" s="26"/>
    </row>
    <row r="35" spans="1:65" s="23" customFormat="1" x14ac:dyDescent="0.25">
      <c r="A35" s="1"/>
      <c r="B35" s="1"/>
      <c r="C35" s="1"/>
      <c r="D35" s="1"/>
      <c r="E35" s="1"/>
      <c r="F35" s="1"/>
      <c r="BI35" s="26"/>
      <c r="BM35" s="26"/>
    </row>
    <row r="36" spans="1:65" s="23" customFormat="1" x14ac:dyDescent="0.25">
      <c r="A36" s="1"/>
      <c r="B36" s="1"/>
      <c r="C36" s="1"/>
      <c r="D36" s="1"/>
      <c r="E36" s="1"/>
      <c r="F36" s="1"/>
      <c r="BI36" s="26"/>
      <c r="BM36" s="26"/>
    </row>
    <row r="37" spans="1:65" s="23" customFormat="1" x14ac:dyDescent="0.25">
      <c r="A37" s="1"/>
      <c r="B37" s="1"/>
      <c r="C37" s="1"/>
      <c r="D37" s="1"/>
      <c r="E37" s="1"/>
      <c r="F37" s="1"/>
      <c r="BI37" s="26"/>
      <c r="BM37" s="26"/>
    </row>
    <row r="38" spans="1:65" s="23" customFormat="1" x14ac:dyDescent="0.25">
      <c r="A38" s="1"/>
      <c r="B38" s="1"/>
      <c r="C38" s="1"/>
      <c r="D38" s="1"/>
      <c r="E38" s="1"/>
      <c r="F38" s="1"/>
      <c r="BI38" s="26"/>
      <c r="BM38" s="26"/>
    </row>
  </sheetData>
  <sheetProtection algorithmName="SHA-512" hashValue="k/wfhIZMwW3XO4RFkzeiFCxyuQNfKy8NWZJHf0BsLjdUj5JbwqrxLi2DbtiTqVPbScbnzS9JgDNNslyYYecy5A==" saltValue="QhBvV5ez221jnoHqdny46w==" spinCount="100000" sheet="1" objects="1" scenarios="1"/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5"/>
  <sheetViews>
    <sheetView tabSelected="1" topLeftCell="K1" workbookViewId="0">
      <selection activeCell="AG8" sqref="AG8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3" t="s">
        <v>16</v>
      </c>
      <c r="D1" s="83"/>
      <c r="E1" s="83"/>
      <c r="G1" s="83" t="s">
        <v>17</v>
      </c>
      <c r="H1" s="83"/>
      <c r="I1" s="83"/>
      <c r="K1" s="83" t="s">
        <v>18</v>
      </c>
      <c r="L1" s="83"/>
      <c r="M1" s="83"/>
      <c r="O1" s="83" t="s">
        <v>19</v>
      </c>
      <c r="P1" s="83"/>
      <c r="Q1" s="83"/>
      <c r="S1" s="83" t="s">
        <v>47</v>
      </c>
      <c r="T1" s="83"/>
      <c r="U1" s="83"/>
      <c r="V1" s="11"/>
      <c r="W1" s="87" t="s">
        <v>23</v>
      </c>
      <c r="X1" s="87"/>
      <c r="Y1" s="87"/>
      <c r="Z1" s="11"/>
      <c r="AA1" s="86"/>
      <c r="AB1" s="86"/>
      <c r="AC1" s="86"/>
      <c r="AD1" s="11"/>
      <c r="AE1" s="86"/>
      <c r="AF1" s="86"/>
      <c r="AG1" s="86"/>
      <c r="AH1" s="11"/>
      <c r="AI1" s="14" t="s">
        <v>48</v>
      </c>
      <c r="AJ1" s="83" t="s">
        <v>24</v>
      </c>
      <c r="AK1" s="83"/>
      <c r="AL1" s="83"/>
      <c r="AM1" s="8"/>
      <c r="AN1" s="83" t="s">
        <v>25</v>
      </c>
      <c r="AO1" s="83"/>
      <c r="AP1" s="83"/>
      <c r="AQ1" s="8"/>
      <c r="AR1" s="86"/>
      <c r="AS1" s="86"/>
      <c r="AT1" s="86"/>
      <c r="AU1" s="8"/>
      <c r="AV1" s="86"/>
      <c r="AW1" s="86"/>
      <c r="AX1" s="86"/>
      <c r="AY1" s="8"/>
      <c r="AZ1" s="86"/>
      <c r="BA1" s="86"/>
      <c r="BB1" s="86"/>
      <c r="BD1" s="15" t="s">
        <v>26</v>
      </c>
      <c r="BF1" s="84" t="s">
        <v>27</v>
      </c>
      <c r="BG1" s="84"/>
      <c r="BH1" s="84"/>
      <c r="BJ1" s="84" t="s">
        <v>28</v>
      </c>
      <c r="BK1" s="84"/>
      <c r="BL1" s="84"/>
    </row>
    <row r="2" spans="2:64" s="8" customFormat="1" ht="17.45" customHeight="1" thickBot="1" x14ac:dyDescent="0.25">
      <c r="B2" s="8" t="s">
        <v>29</v>
      </c>
      <c r="C2" s="8" t="s">
        <v>30</v>
      </c>
      <c r="D2" s="8" t="s">
        <v>31</v>
      </c>
      <c r="E2" s="8" t="s">
        <v>32</v>
      </c>
      <c r="G2" s="8" t="s">
        <v>30</v>
      </c>
      <c r="H2" s="8" t="s">
        <v>31</v>
      </c>
      <c r="I2" s="8" t="s">
        <v>32</v>
      </c>
      <c r="K2" s="8" t="s">
        <v>30</v>
      </c>
      <c r="L2" s="8" t="s">
        <v>31</v>
      </c>
      <c r="M2" s="8" t="s">
        <v>32</v>
      </c>
      <c r="O2" s="8" t="s">
        <v>30</v>
      </c>
      <c r="P2" s="8" t="s">
        <v>31</v>
      </c>
      <c r="Q2" s="8" t="s">
        <v>32</v>
      </c>
      <c r="S2" s="8" t="s">
        <v>30</v>
      </c>
      <c r="T2" s="8" t="s">
        <v>31</v>
      </c>
      <c r="U2" s="8" t="s">
        <v>32</v>
      </c>
      <c r="W2" s="8" t="s">
        <v>30</v>
      </c>
      <c r="X2" s="8" t="s">
        <v>31</v>
      </c>
      <c r="Y2" s="8" t="s">
        <v>32</v>
      </c>
      <c r="AA2" s="8" t="s">
        <v>30</v>
      </c>
      <c r="AB2" s="8" t="s">
        <v>31</v>
      </c>
      <c r="AC2" s="8" t="s">
        <v>32</v>
      </c>
      <c r="AE2" s="8" t="s">
        <v>30</v>
      </c>
      <c r="AF2" s="8" t="s">
        <v>31</v>
      </c>
      <c r="AG2" s="8" t="s">
        <v>32</v>
      </c>
      <c r="AJ2" s="8" t="s">
        <v>30</v>
      </c>
      <c r="AK2" s="8" t="s">
        <v>31</v>
      </c>
      <c r="AL2" s="8" t="s">
        <v>32</v>
      </c>
      <c r="AN2" s="8" t="s">
        <v>30</v>
      </c>
      <c r="AO2" s="8" t="s">
        <v>31</v>
      </c>
      <c r="AP2" s="8" t="s">
        <v>32</v>
      </c>
      <c r="AR2" s="8" t="s">
        <v>30</v>
      </c>
      <c r="AS2" s="8" t="s">
        <v>31</v>
      </c>
      <c r="AT2" s="8" t="s">
        <v>32</v>
      </c>
      <c r="AV2" s="8" t="s">
        <v>30</v>
      </c>
      <c r="AW2" s="8" t="s">
        <v>31</v>
      </c>
      <c r="AX2" s="8" t="s">
        <v>32</v>
      </c>
      <c r="AZ2" s="8" t="s">
        <v>30</v>
      </c>
      <c r="BA2" s="8" t="s">
        <v>31</v>
      </c>
      <c r="BB2" s="8" t="s">
        <v>32</v>
      </c>
      <c r="BF2" s="8" t="s">
        <v>30</v>
      </c>
      <c r="BG2" s="8" t="s">
        <v>31</v>
      </c>
      <c r="BH2" s="8" t="s">
        <v>32</v>
      </c>
      <c r="BJ2" s="8" t="s">
        <v>30</v>
      </c>
      <c r="BK2" s="8" t="s">
        <v>31</v>
      </c>
      <c r="BL2" s="8" t="s">
        <v>32</v>
      </c>
    </row>
    <row r="3" spans="2:64" ht="45.6" customHeight="1" thickBot="1" x14ac:dyDescent="0.3">
      <c r="B3" s="21" t="s">
        <v>10</v>
      </c>
      <c r="C3" s="10"/>
      <c r="W3" s="18" t="s">
        <v>49</v>
      </c>
      <c r="X3" s="20" t="s">
        <v>50</v>
      </c>
      <c r="Y3" s="19" t="s">
        <v>51</v>
      </c>
      <c r="AJ3" s="3"/>
      <c r="AK3" s="3"/>
      <c r="AL3" s="3"/>
    </row>
    <row r="4" spans="2:64" ht="42" customHeight="1" x14ac:dyDescent="0.25">
      <c r="B4" s="22" t="s">
        <v>52</v>
      </c>
    </row>
    <row r="5" spans="2:64" ht="56.25" customHeight="1" x14ac:dyDescent="0.25"/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58" bestFit="1" customWidth="1"/>
    <col min="2" max="2" width="10.42578125" customWidth="1"/>
    <col min="3" max="3" width="9.28515625" style="41" customWidth="1"/>
    <col min="5" max="5" width="11.140625" customWidth="1"/>
    <col min="6" max="6" width="15.85546875" bestFit="1" customWidth="1"/>
  </cols>
  <sheetData>
    <row r="1" spans="1:6" x14ac:dyDescent="0.25">
      <c r="A1" s="57" t="s">
        <v>53</v>
      </c>
      <c r="B1" s="54" t="s">
        <v>77</v>
      </c>
      <c r="C1" s="59" t="s">
        <v>78</v>
      </c>
      <c r="D1" s="54" t="s">
        <v>55</v>
      </c>
      <c r="E1" s="54" t="s">
        <v>79</v>
      </c>
      <c r="F1" s="54" t="s">
        <v>56</v>
      </c>
    </row>
    <row r="2" spans="1:6" x14ac:dyDescent="0.25">
      <c r="A2" s="55">
        <v>46099</v>
      </c>
      <c r="B2" s="1">
        <v>260003</v>
      </c>
      <c r="C2" s="60">
        <v>2010</v>
      </c>
      <c r="D2" s="56">
        <v>100.5</v>
      </c>
      <c r="E2" s="1"/>
      <c r="F2" s="1" t="s">
        <v>80</v>
      </c>
    </row>
    <row r="3" spans="1:6" x14ac:dyDescent="0.25">
      <c r="A3" s="55">
        <v>46099</v>
      </c>
      <c r="B3" s="1">
        <v>260004</v>
      </c>
      <c r="C3" s="60">
        <v>2010</v>
      </c>
      <c r="D3" s="56">
        <v>100.5</v>
      </c>
      <c r="E3" s="1" t="s">
        <v>80</v>
      </c>
      <c r="F3" s="1"/>
    </row>
    <row r="4" spans="1:6" x14ac:dyDescent="0.25">
      <c r="A4" s="55">
        <v>46100</v>
      </c>
      <c r="B4" s="1">
        <v>260012</v>
      </c>
      <c r="C4" s="60">
        <v>0</v>
      </c>
      <c r="D4" s="56"/>
      <c r="E4" s="1" t="s">
        <v>80</v>
      </c>
      <c r="F4" s="1"/>
    </row>
    <row r="5" spans="1:6" x14ac:dyDescent="0.25">
      <c r="A5" s="55">
        <v>46100</v>
      </c>
      <c r="B5" s="1">
        <v>260013</v>
      </c>
      <c r="C5" s="60">
        <v>252</v>
      </c>
      <c r="D5" s="56"/>
      <c r="E5" s="1"/>
      <c r="F5" s="1" t="s">
        <v>80</v>
      </c>
    </row>
    <row r="6" spans="1:6" x14ac:dyDescent="0.25">
      <c r="A6" s="55"/>
      <c r="B6" s="1"/>
      <c r="C6" s="60"/>
      <c r="D6" s="56"/>
      <c r="E6" s="1"/>
      <c r="F6" s="1"/>
    </row>
    <row r="7" spans="1:6" x14ac:dyDescent="0.25">
      <c r="A7" s="55"/>
      <c r="B7" s="1"/>
      <c r="C7" s="60"/>
      <c r="D7" s="56"/>
      <c r="E7" s="1"/>
      <c r="F7" s="1"/>
    </row>
    <row r="8" spans="1:6" x14ac:dyDescent="0.25">
      <c r="A8" s="55"/>
      <c r="B8" s="1"/>
      <c r="C8" s="60"/>
      <c r="D8" s="56"/>
      <c r="E8" s="1"/>
      <c r="F8" s="1"/>
    </row>
    <row r="9" spans="1:6" x14ac:dyDescent="0.25">
      <c r="A9" s="55"/>
      <c r="B9" s="1"/>
      <c r="C9" s="60"/>
      <c r="D9" s="1"/>
      <c r="E9" s="1"/>
      <c r="F9" s="1"/>
    </row>
    <row r="10" spans="1:6" x14ac:dyDescent="0.25">
      <c r="A10" s="55"/>
      <c r="B10" s="1"/>
      <c r="C10" s="60"/>
      <c r="D10" s="1"/>
      <c r="E10" s="1"/>
      <c r="F10" s="1"/>
    </row>
    <row r="11" spans="1:6" x14ac:dyDescent="0.25">
      <c r="A11" s="55"/>
      <c r="B11" s="1"/>
      <c r="C11" s="60"/>
      <c r="D11" s="1"/>
      <c r="E11" s="1"/>
      <c r="F11" s="1"/>
    </row>
    <row r="12" spans="1:6" x14ac:dyDescent="0.25">
      <c r="A12" s="55"/>
      <c r="B12" s="1"/>
      <c r="C12" s="60"/>
      <c r="D12" s="1"/>
      <c r="E12" s="1"/>
      <c r="F12" s="1"/>
    </row>
    <row r="13" spans="1:6" x14ac:dyDescent="0.25">
      <c r="A13" s="55"/>
      <c r="B13" s="1"/>
      <c r="C13" s="60"/>
      <c r="D13" s="1"/>
      <c r="E13" s="1"/>
      <c r="F13" s="1"/>
    </row>
    <row r="14" spans="1:6" x14ac:dyDescent="0.25">
      <c r="A14" s="55"/>
      <c r="B14" s="1"/>
      <c r="C14" s="60"/>
      <c r="D14" s="1"/>
      <c r="E14" s="1"/>
      <c r="F14" s="1"/>
    </row>
    <row r="15" spans="1:6" x14ac:dyDescent="0.25">
      <c r="A15" s="55"/>
      <c r="B15" s="1"/>
      <c r="C15" s="60"/>
      <c r="D15" s="1"/>
      <c r="E15" s="1"/>
      <c r="F15" s="1"/>
    </row>
    <row r="16" spans="1:6" x14ac:dyDescent="0.25">
      <c r="A16" s="55"/>
      <c r="B16" s="1"/>
      <c r="C16" s="60"/>
      <c r="D16" s="1"/>
      <c r="E16" s="1"/>
      <c r="F16" s="1"/>
    </row>
    <row r="17" spans="1:6" x14ac:dyDescent="0.25">
      <c r="A17" s="55"/>
      <c r="B17" s="1"/>
      <c r="C17" s="60"/>
      <c r="D17" s="1"/>
      <c r="E17" s="1"/>
      <c r="F17" s="1"/>
    </row>
    <row r="18" spans="1:6" x14ac:dyDescent="0.25">
      <c r="A18" s="55"/>
      <c r="B18" s="1"/>
      <c r="C18" s="60"/>
      <c r="D18" s="1"/>
      <c r="E18" s="1"/>
      <c r="F18" s="1"/>
    </row>
    <row r="19" spans="1:6" x14ac:dyDescent="0.25">
      <c r="A19" s="55"/>
      <c r="B19" s="1"/>
      <c r="C19" s="60"/>
      <c r="D19" s="1"/>
      <c r="E19" s="1"/>
      <c r="F19" s="1"/>
    </row>
    <row r="20" spans="1:6" x14ac:dyDescent="0.25">
      <c r="A20" s="55"/>
      <c r="B20" s="1"/>
      <c r="C20" s="60"/>
      <c r="D20" s="1"/>
      <c r="E20" s="1"/>
      <c r="F20" s="1"/>
    </row>
    <row r="21" spans="1:6" x14ac:dyDescent="0.25">
      <c r="A21" s="55"/>
      <c r="B21" s="1"/>
      <c r="C21" s="60"/>
      <c r="D21" s="1"/>
      <c r="E21" s="1"/>
      <c r="F21" s="1"/>
    </row>
    <row r="22" spans="1:6" x14ac:dyDescent="0.25">
      <c r="A22" s="55"/>
      <c r="B22" s="1"/>
      <c r="C22" s="60"/>
      <c r="D22" s="1"/>
      <c r="E22" s="1"/>
      <c r="F22" s="1"/>
    </row>
    <row r="23" spans="1:6" x14ac:dyDescent="0.25">
      <c r="A23" s="55"/>
      <c r="B23" s="1"/>
      <c r="C23" s="60"/>
      <c r="D23" s="1"/>
      <c r="E23" s="1"/>
      <c r="F23" s="1"/>
    </row>
    <row r="24" spans="1:6" x14ac:dyDescent="0.25">
      <c r="A24" s="55"/>
      <c r="B24" s="1"/>
      <c r="C24" s="60"/>
      <c r="D24" s="1"/>
      <c r="E24" s="1"/>
      <c r="F24" s="1"/>
    </row>
    <row r="25" spans="1:6" x14ac:dyDescent="0.25">
      <c r="A25" s="55"/>
      <c r="B25" s="1"/>
      <c r="C25" s="60"/>
      <c r="D25" s="1"/>
      <c r="E25" s="1"/>
      <c r="F25" s="1"/>
    </row>
    <row r="26" spans="1:6" x14ac:dyDescent="0.25">
      <c r="A26" s="55"/>
      <c r="B26" s="1"/>
      <c r="C26" s="60"/>
      <c r="D26" s="1"/>
      <c r="E26" s="1"/>
      <c r="F26" s="1"/>
    </row>
    <row r="27" spans="1:6" x14ac:dyDescent="0.25">
      <c r="A27" s="55"/>
      <c r="B27" s="1"/>
      <c r="C27" s="60"/>
      <c r="D27" s="1"/>
      <c r="E27" s="1"/>
      <c r="F27" s="1"/>
    </row>
    <row r="28" spans="1:6" x14ac:dyDescent="0.25">
      <c r="A28" s="55"/>
      <c r="B28" s="1"/>
      <c r="C28" s="60"/>
      <c r="D28" s="1"/>
      <c r="E28" s="1"/>
      <c r="F28" s="1"/>
    </row>
    <row r="29" spans="1:6" x14ac:dyDescent="0.25">
      <c r="A29" s="55"/>
      <c r="B29" s="1"/>
      <c r="C29" s="60"/>
      <c r="D29" s="1"/>
      <c r="E29" s="1"/>
      <c r="F29" s="1"/>
    </row>
    <row r="30" spans="1:6" x14ac:dyDescent="0.25">
      <c r="A30" s="55"/>
      <c r="B30" s="1"/>
      <c r="C30" s="60"/>
      <c r="D30" s="1"/>
      <c r="E30" s="1"/>
      <c r="F30" s="1"/>
    </row>
    <row r="31" spans="1:6" x14ac:dyDescent="0.25">
      <c r="A31" s="55"/>
      <c r="B31" s="1"/>
      <c r="C31" s="60"/>
      <c r="D31" s="1"/>
      <c r="E31" s="1"/>
      <c r="F31" s="1"/>
    </row>
    <row r="32" spans="1:6" x14ac:dyDescent="0.25">
      <c r="A32" s="55"/>
      <c r="B32" s="1"/>
      <c r="C32" s="60"/>
      <c r="D32" s="1"/>
      <c r="E32" s="1"/>
      <c r="F32" s="1"/>
    </row>
    <row r="33" spans="1:6" x14ac:dyDescent="0.25">
      <c r="A33" s="55"/>
      <c r="B33" s="1"/>
      <c r="C33" s="60"/>
      <c r="D33" s="1"/>
      <c r="E33" s="1"/>
      <c r="F33" s="1"/>
    </row>
    <row r="34" spans="1:6" x14ac:dyDescent="0.25">
      <c r="A34" s="55"/>
      <c r="B34" s="1"/>
      <c r="C34" s="60"/>
      <c r="D34" s="1"/>
      <c r="E34" s="1"/>
      <c r="F34" s="1"/>
    </row>
  </sheetData>
  <sheetProtection algorithmName="SHA-512" hashValue="zP8pUk4cx1qukLoo1EAS5oV4484nBcY/p/Wqp1ULTY1Rt8+WKDzfbpHsPiWhRv140vMxiDmDVUQqRzchdOlSAQ==" saltValue="MWhGa1wBrqrZIvoYgZFv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49" t="s">
        <v>57</v>
      </c>
      <c r="B1">
        <v>260010</v>
      </c>
      <c r="G1" s="1" t="s">
        <v>53</v>
      </c>
      <c r="H1" s="92">
        <f ca="1">TODAY()</f>
        <v>46203</v>
      </c>
      <c r="I1" s="92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3">
        <v>0.06</v>
      </c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</row>
    <row r="2" spans="1:57" x14ac:dyDescent="0.25"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</row>
    <row r="3" spans="1:57" x14ac:dyDescent="0.25">
      <c r="A3" s="49" t="s">
        <v>58</v>
      </c>
      <c r="G3" s="49" t="s">
        <v>59</v>
      </c>
      <c r="H3" s="88" t="s">
        <v>60</v>
      </c>
      <c r="I3" s="88"/>
      <c r="J3" s="88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</row>
    <row r="4" spans="1:57" x14ac:dyDescent="0.25">
      <c r="A4" s="91" t="s">
        <v>0</v>
      </c>
      <c r="B4" s="91"/>
      <c r="C4" s="88" t="str">
        <f>FrontPage!C5</f>
        <v>Bar N Ranch</v>
      </c>
      <c r="D4" s="88"/>
      <c r="E4" s="88"/>
      <c r="H4" s="88" t="s">
        <v>61</v>
      </c>
      <c r="I4" s="88"/>
      <c r="J4" s="88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</row>
    <row r="5" spans="1:57" x14ac:dyDescent="0.25">
      <c r="A5" s="91" t="s">
        <v>2</v>
      </c>
      <c r="B5" s="91"/>
      <c r="C5" s="88" t="str">
        <f>FrontPage!C6</f>
        <v>Barry Bar</v>
      </c>
      <c r="D5" s="88"/>
      <c r="E5" s="88"/>
      <c r="H5" s="88" t="s">
        <v>62</v>
      </c>
      <c r="I5" s="88"/>
      <c r="J5" s="88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</row>
    <row r="6" spans="1:57" x14ac:dyDescent="0.25">
      <c r="A6" s="9"/>
      <c r="B6" s="9" t="s">
        <v>4</v>
      </c>
      <c r="C6" s="88" t="str">
        <f>FrontPage!C7</f>
        <v>Box 32</v>
      </c>
      <c r="D6" s="88"/>
      <c r="E6" s="88"/>
      <c r="H6" s="88" t="s">
        <v>63</v>
      </c>
      <c r="I6" s="88"/>
      <c r="J6" s="88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</row>
    <row r="7" spans="1:57" x14ac:dyDescent="0.25">
      <c r="A7" s="91" t="s">
        <v>5</v>
      </c>
      <c r="B7" s="91"/>
      <c r="C7" s="88" t="str">
        <f>FrontPage!C8</f>
        <v>Black Diamond</v>
      </c>
      <c r="D7" s="88"/>
      <c r="E7" s="88"/>
      <c r="H7" s="88" t="s">
        <v>64</v>
      </c>
      <c r="I7" s="88"/>
      <c r="J7" s="88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</row>
    <row r="8" spans="1:57" x14ac:dyDescent="0.25">
      <c r="A8" s="91" t="s">
        <v>6</v>
      </c>
      <c r="B8" s="91"/>
      <c r="C8" s="88" t="str">
        <f>FrontPage!C9</f>
        <v>AB</v>
      </c>
      <c r="D8" s="88"/>
      <c r="E8" s="88"/>
      <c r="H8" s="88" t="s">
        <v>65</v>
      </c>
      <c r="I8" s="88"/>
      <c r="J8" s="88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</row>
    <row r="9" spans="1:57" x14ac:dyDescent="0.25">
      <c r="A9" s="91" t="s">
        <v>7</v>
      </c>
      <c r="B9" s="91"/>
      <c r="C9" s="88" t="str">
        <f>FrontPage!C10</f>
        <v>T0B 1Z3</v>
      </c>
      <c r="D9" s="88"/>
      <c r="E9" s="88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</row>
    <row r="10" spans="1:57" x14ac:dyDescent="0.25"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</row>
    <row r="11" spans="1:57" x14ac:dyDescent="0.25">
      <c r="A11" s="89" t="s">
        <v>9</v>
      </c>
      <c r="B11" s="89"/>
      <c r="C11" s="89"/>
      <c r="D11" s="89"/>
      <c r="E11" s="89"/>
      <c r="F11" s="89"/>
      <c r="G11" s="89"/>
      <c r="H11" s="89"/>
      <c r="I11" s="89"/>
      <c r="J11" s="89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</row>
    <row r="12" spans="1:57" x14ac:dyDescent="0.25">
      <c r="A12" s="38" t="s">
        <v>66</v>
      </c>
      <c r="B12" s="90" t="s">
        <v>67</v>
      </c>
      <c r="C12" s="90"/>
      <c r="D12" s="90"/>
      <c r="E12" s="90"/>
      <c r="F12" s="90"/>
      <c r="G12" s="90"/>
      <c r="H12" s="90"/>
      <c r="I12" s="39" t="s">
        <v>12</v>
      </c>
      <c r="J12" s="39" t="s">
        <v>68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</row>
    <row r="13" spans="1:57" x14ac:dyDescent="0.25">
      <c r="B13" s="84"/>
      <c r="C13" s="84"/>
      <c r="D13" s="84"/>
      <c r="E13" s="84"/>
      <c r="F13" s="84"/>
      <c r="G13" s="84"/>
      <c r="H13" s="84"/>
      <c r="I13" s="41"/>
      <c r="J13" s="41">
        <v>100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</row>
    <row r="14" spans="1:57" x14ac:dyDescent="0.25">
      <c r="B14" s="84"/>
      <c r="C14" s="84"/>
      <c r="D14" s="84"/>
      <c r="E14" s="84"/>
      <c r="F14" s="84"/>
      <c r="G14" s="84"/>
      <c r="H14" s="84"/>
      <c r="I14" s="41"/>
      <c r="J14" s="41">
        <f t="shared" ref="J14:J18" si="0" xml:space="preserve"> (A14 * I14)</f>
        <v>0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</row>
    <row r="15" spans="1:57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</row>
    <row r="16" spans="1:57" x14ac:dyDescent="0.25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</row>
    <row r="17" spans="1:57" x14ac:dyDescent="0.25">
      <c r="B17" s="84"/>
      <c r="C17" s="84"/>
      <c r="D17" s="84"/>
      <c r="E17" s="84"/>
      <c r="F17" s="84"/>
      <c r="G17" s="84"/>
      <c r="H17" s="84"/>
      <c r="I17" s="41"/>
      <c r="J17" s="41">
        <f t="shared" si="0"/>
        <v>0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</row>
    <row r="18" spans="1:57" x14ac:dyDescent="0.25">
      <c r="B18" s="84"/>
      <c r="C18" s="84"/>
      <c r="D18" s="84"/>
      <c r="E18" s="84"/>
      <c r="F18" s="84"/>
      <c r="G18" s="84"/>
      <c r="H18" s="84"/>
      <c r="I18" s="41"/>
      <c r="J18" s="41">
        <f t="shared" si="0"/>
        <v>0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</row>
    <row r="19" spans="1:57" ht="15.75" thickBot="1" x14ac:dyDescent="0.3">
      <c r="B19" s="84"/>
      <c r="C19" s="84"/>
      <c r="D19" s="84"/>
      <c r="E19" s="84"/>
      <c r="F19" s="84"/>
      <c r="G19" s="84"/>
      <c r="H19" s="84"/>
      <c r="I19" s="41"/>
      <c r="J19" s="41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</row>
    <row r="20" spans="1:57" ht="15.75" thickTop="1" x14ac:dyDescent="0.25">
      <c r="A20" s="94" t="s">
        <v>54</v>
      </c>
      <c r="B20" s="94"/>
      <c r="C20" s="94"/>
      <c r="D20" s="94"/>
      <c r="E20" s="94"/>
      <c r="F20" s="94"/>
      <c r="G20" s="94"/>
      <c r="H20" s="94"/>
      <c r="I20" s="94"/>
      <c r="J20" s="40">
        <f>SUM(J13:J19)</f>
        <v>100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</row>
    <row r="21" spans="1:57" x14ac:dyDescent="0.25">
      <c r="B21" s="52"/>
      <c r="C21" s="93"/>
      <c r="D21" s="93"/>
      <c r="E21" s="93"/>
      <c r="F21" s="93"/>
      <c r="G21" s="93"/>
      <c r="I21" s="9" t="s">
        <v>55</v>
      </c>
      <c r="J21" s="41">
        <f>J20*Z1</f>
        <v>6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</row>
    <row r="22" spans="1:57" x14ac:dyDescent="0.25">
      <c r="B22" s="52"/>
      <c r="C22" s="93"/>
      <c r="D22" s="93"/>
      <c r="E22" s="93"/>
      <c r="F22" s="93"/>
      <c r="G22" s="93"/>
      <c r="I22" s="9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</row>
    <row r="23" spans="1:57" x14ac:dyDescent="0.25">
      <c r="B23" s="52"/>
      <c r="C23" s="93"/>
      <c r="D23" s="93"/>
      <c r="E23" s="93"/>
      <c r="F23" s="93"/>
      <c r="G23" s="93"/>
      <c r="I23" s="9" t="s">
        <v>68</v>
      </c>
      <c r="J23" s="41">
        <f>J20 - J21</f>
        <v>94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</row>
    <row r="24" spans="1:57" x14ac:dyDescent="0.25"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</row>
    <row r="25" spans="1:57" ht="15.75" thickBo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</row>
    <row r="26" spans="1:57" ht="15.75" thickTop="1" x14ac:dyDescent="0.25">
      <c r="A26" s="49" t="s">
        <v>57</v>
      </c>
      <c r="B26">
        <f>B1</f>
        <v>260010</v>
      </c>
      <c r="D26" s="95" t="s">
        <v>70</v>
      </c>
      <c r="E26" s="95"/>
      <c r="G26" s="1" t="s">
        <v>53</v>
      </c>
      <c r="H26" s="96">
        <f ca="1">H1</f>
        <v>46203</v>
      </c>
      <c r="I26" s="96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</row>
    <row r="27" spans="1:57" x14ac:dyDescent="0.25"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</row>
    <row r="28" spans="1:57" x14ac:dyDescent="0.25">
      <c r="A28" s="49" t="s">
        <v>58</v>
      </c>
      <c r="G28" s="49" t="s">
        <v>59</v>
      </c>
      <c r="H28" s="88" t="str">
        <f>H3</f>
        <v>Central Labs Ltd.</v>
      </c>
      <c r="I28" s="88"/>
      <c r="J28" s="88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</row>
    <row r="29" spans="1:57" x14ac:dyDescent="0.25">
      <c r="A29" s="91" t="s">
        <v>0</v>
      </c>
      <c r="B29" s="91"/>
      <c r="C29" s="88" t="str">
        <f t="shared" ref="C29:C34" si="1">C4</f>
        <v>Bar N Ranch</v>
      </c>
      <c r="D29" s="88"/>
      <c r="E29" s="88"/>
      <c r="H29" s="88" t="str">
        <f>H4</f>
        <v>B5, 53-Burnt Park Drive</v>
      </c>
      <c r="I29" s="88"/>
      <c r="J29" s="88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</row>
    <row r="30" spans="1:57" x14ac:dyDescent="0.25">
      <c r="A30" s="91" t="s">
        <v>2</v>
      </c>
      <c r="B30" s="91"/>
      <c r="C30" s="88" t="str">
        <f t="shared" si="1"/>
        <v>Barry Bar</v>
      </c>
      <c r="D30" s="88"/>
      <c r="E30" s="88"/>
      <c r="H30" s="88" t="str">
        <f t="shared" ref="H30:H33" si="2">H5</f>
        <v>Red Deer, AB; T4P 0J7</v>
      </c>
      <c r="I30" s="88"/>
      <c r="J30" s="88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</row>
    <row r="31" spans="1:57" x14ac:dyDescent="0.25">
      <c r="A31" s="9"/>
      <c r="B31" s="9" t="s">
        <v>4</v>
      </c>
      <c r="C31" s="88" t="str">
        <f t="shared" si="1"/>
        <v>Box 32</v>
      </c>
      <c r="D31" s="88"/>
      <c r="E31" s="88"/>
      <c r="H31" s="88" t="str">
        <f t="shared" si="2"/>
        <v>Ph: (403) 348-8378</v>
      </c>
      <c r="I31" s="88"/>
      <c r="J31" s="88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</row>
    <row r="32" spans="1:57" x14ac:dyDescent="0.25">
      <c r="A32" s="91" t="s">
        <v>5</v>
      </c>
      <c r="B32" s="91"/>
      <c r="C32" s="88" t="str">
        <f t="shared" si="1"/>
        <v>Black Diamond</v>
      </c>
      <c r="D32" s="88"/>
      <c r="E32" s="88"/>
      <c r="H32" s="88" t="str">
        <f t="shared" si="2"/>
        <v>GST: 81583 0427 RT0001</v>
      </c>
      <c r="I32" s="88"/>
      <c r="J32" s="88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</row>
    <row r="33" spans="1:57" x14ac:dyDescent="0.25">
      <c r="A33" s="91" t="s">
        <v>6</v>
      </c>
      <c r="B33" s="91"/>
      <c r="C33" s="88" t="str">
        <f t="shared" si="1"/>
        <v>AB</v>
      </c>
      <c r="D33" s="88"/>
      <c r="E33" s="88"/>
      <c r="H33" s="88" t="str">
        <f t="shared" si="2"/>
        <v>Email: reporting@c-labs.ca</v>
      </c>
      <c r="I33" s="88"/>
      <c r="J33" s="88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</row>
    <row r="34" spans="1:57" x14ac:dyDescent="0.25">
      <c r="A34" s="91" t="s">
        <v>7</v>
      </c>
      <c r="B34" s="91"/>
      <c r="C34" s="88" t="str">
        <f t="shared" si="1"/>
        <v>T0B 1Z3</v>
      </c>
      <c r="D34" s="88"/>
      <c r="E34" s="88"/>
      <c r="H34" s="37"/>
      <c r="I34" s="37"/>
      <c r="J34" s="37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</row>
    <row r="35" spans="1:57" x14ac:dyDescent="0.25"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</row>
    <row r="36" spans="1:57" x14ac:dyDescent="0.25">
      <c r="A36" s="89" t="s">
        <v>9</v>
      </c>
      <c r="B36" s="89"/>
      <c r="C36" s="89"/>
      <c r="D36" s="89"/>
      <c r="E36" s="89"/>
      <c r="F36" s="89"/>
      <c r="G36" s="89"/>
      <c r="H36" s="89"/>
      <c r="I36" s="89"/>
      <c r="J36" s="89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</row>
    <row r="37" spans="1:57" x14ac:dyDescent="0.25">
      <c r="A37" s="38" t="s">
        <v>66</v>
      </c>
      <c r="B37" s="90" t="s">
        <v>67</v>
      </c>
      <c r="C37" s="90"/>
      <c r="D37" s="90"/>
      <c r="E37" s="90"/>
      <c r="F37" s="90"/>
      <c r="G37" s="90"/>
      <c r="H37" s="90"/>
      <c r="I37" s="39" t="s">
        <v>12</v>
      </c>
      <c r="J37" s="39" t="s">
        <v>68</v>
      </c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</row>
    <row r="38" spans="1:57" x14ac:dyDescent="0.25">
      <c r="A38">
        <f>A13</f>
        <v>0</v>
      </c>
      <c r="B38" s="84">
        <f>B13</f>
        <v>0</v>
      </c>
      <c r="C38" s="84"/>
      <c r="D38" s="84"/>
      <c r="E38" s="84"/>
      <c r="F38" s="84"/>
      <c r="G38" s="84"/>
      <c r="H38" s="84"/>
      <c r="I38" s="41">
        <f>I13</f>
        <v>0</v>
      </c>
      <c r="J38" s="41">
        <f>J13</f>
        <v>100</v>
      </c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</row>
    <row r="39" spans="1:57" x14ac:dyDescent="0.25">
      <c r="A39">
        <f t="shared" ref="A39:B44" si="3">A14</f>
        <v>0</v>
      </c>
      <c r="B39" s="84">
        <f t="shared" si="3"/>
        <v>0</v>
      </c>
      <c r="C39" s="84"/>
      <c r="D39" s="84"/>
      <c r="E39" s="84"/>
      <c r="F39" s="84"/>
      <c r="G39" s="84"/>
      <c r="H39" s="84"/>
      <c r="I39" s="41">
        <f t="shared" ref="I39:J44" si="4">I14</f>
        <v>0</v>
      </c>
      <c r="J39" s="41">
        <f t="shared" si="4"/>
        <v>0</v>
      </c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</row>
    <row r="40" spans="1:57" x14ac:dyDescent="0.25">
      <c r="A40">
        <f t="shared" si="3"/>
        <v>0</v>
      </c>
      <c r="B40" s="84">
        <f t="shared" si="3"/>
        <v>0</v>
      </c>
      <c r="C40" s="84"/>
      <c r="D40" s="84"/>
      <c r="E40" s="84"/>
      <c r="F40" s="84"/>
      <c r="G40" s="84"/>
      <c r="H40" s="84"/>
      <c r="I40" s="41">
        <f t="shared" si="4"/>
        <v>0</v>
      </c>
      <c r="J40" s="41">
        <f t="shared" si="4"/>
        <v>0</v>
      </c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</row>
    <row r="41" spans="1:57" x14ac:dyDescent="0.25">
      <c r="A41">
        <f t="shared" si="3"/>
        <v>0</v>
      </c>
      <c r="B41" s="84">
        <f t="shared" si="3"/>
        <v>0</v>
      </c>
      <c r="C41" s="84"/>
      <c r="D41" s="84"/>
      <c r="E41" s="84"/>
      <c r="F41" s="84"/>
      <c r="G41" s="84"/>
      <c r="H41" s="84"/>
      <c r="I41" s="41">
        <f t="shared" si="4"/>
        <v>0</v>
      </c>
      <c r="J41" s="41">
        <f t="shared" si="4"/>
        <v>0</v>
      </c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</row>
    <row r="42" spans="1:57" x14ac:dyDescent="0.25">
      <c r="A42">
        <f t="shared" si="3"/>
        <v>0</v>
      </c>
      <c r="B42" s="84">
        <f t="shared" si="3"/>
        <v>0</v>
      </c>
      <c r="C42" s="84"/>
      <c r="D42" s="84"/>
      <c r="E42" s="84"/>
      <c r="F42" s="84"/>
      <c r="G42" s="84"/>
      <c r="H42" s="84"/>
      <c r="I42" s="41">
        <f t="shared" si="4"/>
        <v>0</v>
      </c>
      <c r="J42" s="41">
        <f t="shared" si="4"/>
        <v>0</v>
      </c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</row>
    <row r="43" spans="1:57" x14ac:dyDescent="0.25">
      <c r="A43">
        <f t="shared" si="3"/>
        <v>0</v>
      </c>
      <c r="B43" s="84">
        <f t="shared" si="3"/>
        <v>0</v>
      </c>
      <c r="C43" s="84"/>
      <c r="D43" s="84"/>
      <c r="E43" s="84"/>
      <c r="F43" s="84"/>
      <c r="G43" s="84"/>
      <c r="H43" s="84"/>
      <c r="I43" s="41">
        <f t="shared" si="4"/>
        <v>0</v>
      </c>
      <c r="J43" s="41">
        <f t="shared" si="4"/>
        <v>0</v>
      </c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</row>
    <row r="44" spans="1:57" ht="15.75" thickBot="1" x14ac:dyDescent="0.3">
      <c r="A44">
        <f t="shared" si="3"/>
        <v>0</v>
      </c>
      <c r="B44" s="84">
        <f t="shared" si="3"/>
        <v>0</v>
      </c>
      <c r="C44" s="84"/>
      <c r="D44" s="84"/>
      <c r="E44" s="84"/>
      <c r="F44" s="84"/>
      <c r="G44" s="84"/>
      <c r="H44" s="84"/>
      <c r="I44" s="41">
        <f t="shared" si="4"/>
        <v>0</v>
      </c>
      <c r="J44" s="41">
        <f t="shared" si="4"/>
        <v>0</v>
      </c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</row>
    <row r="45" spans="1:57" ht="15.75" thickTop="1" x14ac:dyDescent="0.25">
      <c r="A45" s="94" t="s">
        <v>54</v>
      </c>
      <c r="B45" s="94"/>
      <c r="C45" s="94"/>
      <c r="D45" s="94"/>
      <c r="E45" s="94"/>
      <c r="F45" s="94"/>
      <c r="G45" s="94"/>
      <c r="H45" s="94"/>
      <c r="I45" s="94"/>
      <c r="J45" s="40">
        <f xml:space="preserve"> J20</f>
        <v>100</v>
      </c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</row>
    <row r="46" spans="1:57" ht="15" customHeight="1" x14ac:dyDescent="0.25">
      <c r="B46" s="53"/>
      <c r="C46" s="98" t="s">
        <v>69</v>
      </c>
      <c r="D46" s="99"/>
      <c r="E46" s="93"/>
      <c r="F46" s="97" t="s">
        <v>76</v>
      </c>
      <c r="G46" s="97"/>
      <c r="I46" s="9" t="s">
        <v>55</v>
      </c>
      <c r="J46" s="41">
        <f>J21</f>
        <v>6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57" x14ac:dyDescent="0.25">
      <c r="B47" s="53"/>
      <c r="C47" s="99"/>
      <c r="D47" s="99"/>
      <c r="E47" s="93"/>
      <c r="F47" s="97"/>
      <c r="G47" s="97"/>
      <c r="I47" s="9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57" x14ac:dyDescent="0.25">
      <c r="B48" s="53"/>
      <c r="C48" s="99"/>
      <c r="D48" s="99"/>
      <c r="E48" s="93"/>
      <c r="F48" s="97"/>
      <c r="G48" s="97"/>
      <c r="I48" s="9" t="s">
        <v>68</v>
      </c>
      <c r="J48" s="41">
        <f>J23</f>
        <v>94</v>
      </c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</row>
    <row r="50" spans="1:5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</row>
    <row r="51" spans="1:57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</row>
    <row r="52" spans="1:57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</row>
    <row r="54" spans="1:57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</row>
    <row r="55" spans="1:57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</row>
    <row r="56" spans="1:57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</row>
    <row r="57" spans="1:57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</row>
    <row r="58" spans="1:57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</row>
    <row r="59" spans="1:57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</row>
    <row r="60" spans="1:57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</row>
    <row r="61" spans="1:57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</row>
    <row r="62" spans="1:57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</row>
    <row r="63" spans="1:57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</row>
    <row r="64" spans="1:57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</row>
    <row r="65" spans="1:37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</row>
    <row r="66" spans="1:37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</row>
    <row r="67" spans="1:37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</row>
    <row r="68" spans="1:37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</row>
    <row r="69" spans="1:37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</row>
    <row r="70" spans="1:3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</row>
    <row r="71" spans="1:37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</row>
    <row r="72" spans="1:37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</row>
    <row r="73" spans="1:37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</row>
    <row r="74" spans="1:37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</row>
    <row r="75" spans="1:37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</row>
    <row r="76" spans="1:37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</row>
    <row r="77" spans="1:37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</row>
    <row r="78" spans="1:37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</row>
    <row r="79" spans="1:37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</row>
    <row r="80" spans="1:37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</row>
    <row r="81" spans="1:37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</row>
    <row r="82" spans="1:37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</row>
    <row r="83" spans="1:37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</row>
    <row r="84" spans="1:37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</row>
    <row r="85" spans="1:37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</row>
    <row r="86" spans="1:37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</row>
    <row r="87" spans="1:37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</row>
    <row r="88" spans="1:37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</row>
    <row r="89" spans="1:37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</row>
    <row r="90" spans="1:37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</row>
    <row r="91" spans="1:37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</row>
    <row r="92" spans="1:37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</row>
    <row r="93" spans="1:37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</row>
    <row r="94" spans="1:37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</row>
    <row r="95" spans="1:37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</row>
    <row r="96" spans="1:37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</row>
    <row r="97" spans="1:37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</row>
    <row r="98" spans="1:37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</row>
    <row r="99" spans="1:37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</row>
    <row r="100" spans="1:37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</row>
    <row r="101" spans="1:37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</row>
    <row r="102" spans="1:37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</row>
    <row r="103" spans="1:37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</row>
    <row r="104" spans="1:37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</row>
    <row r="105" spans="1:37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92">
        <f ca="1">TODAY()</f>
        <v>46203</v>
      </c>
      <c r="F1" s="88"/>
      <c r="G1" s="108"/>
      <c r="H1" s="109"/>
      <c r="I1" s="109"/>
      <c r="J1" s="110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6">
        <v>0.06</v>
      </c>
      <c r="AA1" s="65"/>
      <c r="AB1" s="65"/>
    </row>
    <row r="2" spans="1:28" ht="29.45" customHeight="1" x14ac:dyDescent="0.25">
      <c r="G2" s="111"/>
      <c r="H2" s="84"/>
      <c r="I2" s="84"/>
      <c r="J2" s="112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</row>
    <row r="3" spans="1:28" x14ac:dyDescent="0.25">
      <c r="A3" s="116" t="s">
        <v>58</v>
      </c>
      <c r="B3" s="116"/>
      <c r="C3" s="116"/>
      <c r="D3" s="116"/>
      <c r="E3" s="116"/>
      <c r="G3" s="111"/>
      <c r="H3" s="84"/>
      <c r="I3" s="84"/>
      <c r="J3" s="112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</row>
    <row r="4" spans="1:28" ht="15.75" thickBot="1" x14ac:dyDescent="0.3">
      <c r="B4" s="9" t="s">
        <v>0</v>
      </c>
      <c r="C4" s="88" t="str">
        <f>FrontPage!C5</f>
        <v>Bar N Ranch</v>
      </c>
      <c r="D4" s="88"/>
      <c r="E4" s="88"/>
      <c r="G4" s="113"/>
      <c r="H4" s="114"/>
      <c r="I4" s="114"/>
      <c r="J4" s="11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</row>
    <row r="5" spans="1:28" x14ac:dyDescent="0.25">
      <c r="B5" s="9" t="s">
        <v>2</v>
      </c>
      <c r="C5" s="88" t="str">
        <f>FrontPage!C6</f>
        <v>Barry Bar</v>
      </c>
      <c r="D5" s="88"/>
      <c r="E5" s="88"/>
      <c r="G5" t="s">
        <v>59</v>
      </c>
      <c r="H5" t="s">
        <v>60</v>
      </c>
    </row>
    <row r="6" spans="1:28" x14ac:dyDescent="0.25">
      <c r="B6" s="9" t="s">
        <v>4</v>
      </c>
      <c r="C6" s="88" t="str">
        <f>FrontPage!C7</f>
        <v>Box 32</v>
      </c>
      <c r="D6" s="88"/>
      <c r="E6" s="88"/>
      <c r="H6" t="s">
        <v>61</v>
      </c>
    </row>
    <row r="7" spans="1:28" x14ac:dyDescent="0.25">
      <c r="B7" s="9" t="s">
        <v>5</v>
      </c>
      <c r="C7" s="88" t="str">
        <f>FrontPage!C8</f>
        <v>Black Diamond</v>
      </c>
      <c r="D7" s="88"/>
      <c r="E7" s="88"/>
      <c r="H7" t="s">
        <v>62</v>
      </c>
    </row>
    <row r="8" spans="1:28" x14ac:dyDescent="0.25">
      <c r="B8" s="9" t="s">
        <v>6</v>
      </c>
      <c r="C8" s="88" t="str">
        <f>FrontPage!C9</f>
        <v>AB</v>
      </c>
      <c r="D8" s="88"/>
      <c r="E8" s="88"/>
      <c r="H8" t="s">
        <v>63</v>
      </c>
    </row>
    <row r="9" spans="1:28" ht="15.75" thickBot="1" x14ac:dyDescent="0.3">
      <c r="B9" s="9" t="s">
        <v>7</v>
      </c>
      <c r="C9" s="88" t="str">
        <f>FrontPage!C10</f>
        <v>T0B 1Z3</v>
      </c>
      <c r="D9" s="88"/>
      <c r="E9" s="88"/>
      <c r="H9" t="s">
        <v>65</v>
      </c>
    </row>
    <row r="10" spans="1:28" ht="13.15" customHeight="1" thickTop="1" x14ac:dyDescent="0.25">
      <c r="A10" s="61" t="s">
        <v>9</v>
      </c>
      <c r="B10" s="61"/>
      <c r="C10" s="61"/>
      <c r="D10" s="61"/>
      <c r="E10" s="95" t="s">
        <v>89</v>
      </c>
      <c r="F10" s="95"/>
      <c r="G10" s="61"/>
      <c r="H10" s="61"/>
      <c r="I10" s="61"/>
      <c r="J10" s="61"/>
    </row>
    <row r="11" spans="1:28" x14ac:dyDescent="0.25">
      <c r="A11" s="38" t="s">
        <v>66</v>
      </c>
      <c r="B11" s="90" t="s">
        <v>67</v>
      </c>
      <c r="C11" s="90"/>
      <c r="D11" s="90"/>
      <c r="E11" s="90"/>
      <c r="F11" s="90"/>
      <c r="G11" s="90"/>
      <c r="H11" s="90"/>
      <c r="I11" s="39" t="s">
        <v>12</v>
      </c>
      <c r="J11" s="39" t="s">
        <v>68</v>
      </c>
    </row>
    <row r="12" spans="1:28" x14ac:dyDescent="0.25">
      <c r="A12">
        <v>1</v>
      </c>
      <c r="B12" s="84" t="s">
        <v>16</v>
      </c>
      <c r="C12" s="84"/>
      <c r="D12" s="84"/>
      <c r="E12" s="84"/>
      <c r="F12" s="84"/>
      <c r="G12" s="84"/>
      <c r="H12" s="84"/>
      <c r="I12" s="41">
        <v>240</v>
      </c>
      <c r="J12" s="41">
        <f xml:space="preserve"> (A12 * I12)</f>
        <v>240</v>
      </c>
    </row>
    <row r="13" spans="1:28" x14ac:dyDescent="0.25">
      <c r="A13">
        <v>2</v>
      </c>
      <c r="B13" s="84" t="s">
        <v>17</v>
      </c>
      <c r="C13" s="84"/>
      <c r="D13" s="84"/>
      <c r="E13" s="84"/>
      <c r="F13" s="84"/>
      <c r="G13" s="84"/>
      <c r="H13" s="84"/>
      <c r="I13" s="41">
        <v>150</v>
      </c>
      <c r="J13" s="41">
        <f t="shared" ref="J13:J16" si="0" xml:space="preserve"> (A13 * I13)</f>
        <v>300</v>
      </c>
    </row>
    <row r="14" spans="1:28" x14ac:dyDescent="0.25">
      <c r="A14">
        <v>4</v>
      </c>
      <c r="B14" s="84" t="s">
        <v>18</v>
      </c>
      <c r="C14" s="84"/>
      <c r="D14" s="84"/>
      <c r="E14" s="84"/>
      <c r="F14" s="84"/>
      <c r="G14" s="84"/>
      <c r="H14" s="84"/>
      <c r="I14" s="41">
        <v>195</v>
      </c>
      <c r="J14" s="41">
        <f t="shared" si="0"/>
        <v>780</v>
      </c>
    </row>
    <row r="15" spans="1:28" x14ac:dyDescent="0.25">
      <c r="B15" s="84"/>
      <c r="C15" s="84"/>
      <c r="D15" s="84"/>
      <c r="E15" s="84"/>
      <c r="F15" s="84"/>
      <c r="G15" s="84"/>
      <c r="H15" s="84"/>
      <c r="I15" s="41"/>
      <c r="J15" s="41">
        <f t="shared" si="0"/>
        <v>0</v>
      </c>
    </row>
    <row r="16" spans="1:28" ht="15.75" thickBot="1" x14ac:dyDescent="0.3">
      <c r="B16" s="84"/>
      <c r="C16" s="84"/>
      <c r="D16" s="84"/>
      <c r="E16" s="84"/>
      <c r="F16" s="84"/>
      <c r="G16" s="84"/>
      <c r="H16" s="84"/>
      <c r="I16" s="41"/>
      <c r="J16" s="41">
        <f t="shared" si="0"/>
        <v>0</v>
      </c>
    </row>
    <row r="17" spans="1:10" ht="15.75" thickTop="1" x14ac:dyDescent="0.25">
      <c r="A17" s="94" t="s">
        <v>54</v>
      </c>
      <c r="B17" s="94"/>
      <c r="C17" s="94"/>
      <c r="D17" s="94"/>
      <c r="E17" s="94"/>
      <c r="F17" s="94"/>
      <c r="G17" s="94"/>
      <c r="H17" s="94"/>
      <c r="I17" s="94"/>
      <c r="J17" s="64">
        <f>SUM(J12:J16)</f>
        <v>1320</v>
      </c>
    </row>
    <row r="18" spans="1:10" x14ac:dyDescent="0.25">
      <c r="B18" s="93"/>
      <c r="C18" s="93"/>
      <c r="D18" s="123" t="s">
        <v>86</v>
      </c>
      <c r="E18" s="93"/>
      <c r="F18" s="93"/>
      <c r="G18" s="91" t="s">
        <v>84</v>
      </c>
      <c r="H18" s="91"/>
      <c r="I18" s="91"/>
      <c r="J18" s="41">
        <f>J17*Z1</f>
        <v>79.2</v>
      </c>
    </row>
    <row r="19" spans="1:10" ht="6" customHeight="1" thickBot="1" x14ac:dyDescent="0.3">
      <c r="B19" s="93"/>
      <c r="C19" s="93"/>
      <c r="D19" s="123"/>
      <c r="E19" s="93"/>
      <c r="F19" s="93"/>
      <c r="I19" s="9"/>
    </row>
    <row r="20" spans="1:10" ht="15.75" thickBot="1" x14ac:dyDescent="0.3">
      <c r="B20" s="93"/>
      <c r="C20" s="93"/>
      <c r="D20" s="123"/>
      <c r="E20" s="93"/>
      <c r="F20" s="93"/>
      <c r="I20" s="63" t="s">
        <v>68</v>
      </c>
      <c r="J20" s="62">
        <f>SUM(J17:J18)</f>
        <v>1399.2</v>
      </c>
    </row>
    <row r="22" spans="1:10" ht="15.75" thickBo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46203</v>
      </c>
    </row>
    <row r="24" spans="1:10" ht="7.15" customHeight="1" x14ac:dyDescent="0.25"/>
    <row r="25" spans="1:10" x14ac:dyDescent="0.25">
      <c r="A25" s="116" t="s">
        <v>58</v>
      </c>
      <c r="B25" s="116"/>
      <c r="C25" s="116"/>
      <c r="D25" s="116"/>
      <c r="E25" s="116"/>
      <c r="G25" t="s">
        <v>59</v>
      </c>
      <c r="H25" t="s">
        <v>60</v>
      </c>
    </row>
    <row r="26" spans="1:10" x14ac:dyDescent="0.25">
      <c r="B26" s="9" t="s">
        <v>0</v>
      </c>
      <c r="C26" s="88" t="str">
        <f t="shared" ref="C26:C31" si="1">C4</f>
        <v>Bar N Ranch</v>
      </c>
      <c r="D26" s="88"/>
      <c r="E26" s="88"/>
      <c r="H26" t="s">
        <v>61</v>
      </c>
    </row>
    <row r="27" spans="1:10" x14ac:dyDescent="0.25">
      <c r="B27" s="9" t="s">
        <v>2</v>
      </c>
      <c r="C27" s="88" t="str">
        <f t="shared" si="1"/>
        <v>Barry Bar</v>
      </c>
      <c r="D27" s="88"/>
      <c r="E27" s="88"/>
      <c r="H27" t="s">
        <v>62</v>
      </c>
    </row>
    <row r="28" spans="1:10" x14ac:dyDescent="0.25">
      <c r="B28" s="9" t="s">
        <v>4</v>
      </c>
      <c r="C28" s="88" t="str">
        <f t="shared" si="1"/>
        <v>Box 32</v>
      </c>
      <c r="D28" s="88"/>
      <c r="E28" s="88"/>
      <c r="H28" t="s">
        <v>63</v>
      </c>
    </row>
    <row r="29" spans="1:10" x14ac:dyDescent="0.25">
      <c r="B29" s="9" t="s">
        <v>5</v>
      </c>
      <c r="C29" s="88" t="str">
        <f t="shared" si="1"/>
        <v>Black Diamond</v>
      </c>
      <c r="D29" s="88"/>
      <c r="E29" s="88"/>
      <c r="H29" t="s">
        <v>64</v>
      </c>
    </row>
    <row r="30" spans="1:10" x14ac:dyDescent="0.25">
      <c r="B30" s="9" t="s">
        <v>6</v>
      </c>
      <c r="C30" s="88" t="str">
        <f t="shared" si="1"/>
        <v>AB</v>
      </c>
      <c r="D30" s="88"/>
      <c r="E30" s="88"/>
      <c r="H30" t="s">
        <v>65</v>
      </c>
    </row>
    <row r="31" spans="1:10" ht="15.75" thickBot="1" x14ac:dyDescent="0.3">
      <c r="B31" s="9" t="s">
        <v>7</v>
      </c>
      <c r="C31" s="88" t="str">
        <f t="shared" si="1"/>
        <v>T0B 1Z3</v>
      </c>
      <c r="D31" s="88"/>
      <c r="E31" s="88"/>
    </row>
    <row r="32" spans="1:10" ht="12.6" customHeight="1" thickTop="1" x14ac:dyDescent="0.25">
      <c r="A32" s="61" t="s">
        <v>9</v>
      </c>
      <c r="B32" s="61"/>
      <c r="C32" s="61"/>
      <c r="D32" s="61"/>
      <c r="E32" s="95" t="s">
        <v>88</v>
      </c>
      <c r="F32" s="95"/>
      <c r="G32" s="61"/>
      <c r="H32" s="61"/>
      <c r="I32" s="61"/>
      <c r="J32" s="61"/>
    </row>
    <row r="33" spans="1:10" x14ac:dyDescent="0.25">
      <c r="A33" s="38" t="s">
        <v>66</v>
      </c>
      <c r="B33" s="90" t="s">
        <v>67</v>
      </c>
      <c r="C33" s="90"/>
      <c r="D33" s="90"/>
      <c r="E33" s="90"/>
      <c r="F33" s="90"/>
      <c r="G33" s="90"/>
      <c r="H33" s="90"/>
      <c r="I33" s="39" t="s">
        <v>12</v>
      </c>
      <c r="J33" s="39" t="s">
        <v>68</v>
      </c>
    </row>
    <row r="34" spans="1:10" x14ac:dyDescent="0.25">
      <c r="A34">
        <f t="shared" ref="A34:B38" si="2">A12</f>
        <v>1</v>
      </c>
      <c r="B34" s="84" t="str">
        <f t="shared" si="2"/>
        <v>Potable</v>
      </c>
      <c r="C34" s="84"/>
      <c r="D34" s="84"/>
      <c r="E34" s="84"/>
      <c r="F34" s="84"/>
      <c r="G34" s="84"/>
      <c r="H34" s="84"/>
      <c r="I34" s="41">
        <f t="shared" ref="I34:J38" si="3">I12</f>
        <v>240</v>
      </c>
      <c r="J34" s="41">
        <f t="shared" si="3"/>
        <v>240</v>
      </c>
    </row>
    <row r="35" spans="1:10" x14ac:dyDescent="0.25">
      <c r="A35">
        <f t="shared" si="2"/>
        <v>2</v>
      </c>
      <c r="B35" s="84" t="str">
        <f t="shared" si="2"/>
        <v>Total/E.Coli</v>
      </c>
      <c r="C35" s="84"/>
      <c r="D35" s="84"/>
      <c r="E35" s="84"/>
      <c r="F35" s="84"/>
      <c r="G35" s="84"/>
      <c r="H35" s="84"/>
      <c r="I35" s="41">
        <f t="shared" si="3"/>
        <v>150</v>
      </c>
      <c r="J35" s="41">
        <f t="shared" si="3"/>
        <v>300</v>
      </c>
    </row>
    <row r="36" spans="1:10" x14ac:dyDescent="0.25">
      <c r="A36">
        <f t="shared" si="2"/>
        <v>4</v>
      </c>
      <c r="B36" s="84" t="str">
        <f t="shared" si="2"/>
        <v>Potable Package</v>
      </c>
      <c r="C36" s="84"/>
      <c r="D36" s="84"/>
      <c r="E36" s="84"/>
      <c r="F36" s="84"/>
      <c r="G36" s="84"/>
      <c r="H36" s="84"/>
      <c r="I36" s="41">
        <f t="shared" si="3"/>
        <v>195</v>
      </c>
      <c r="J36" s="41">
        <f t="shared" si="3"/>
        <v>780</v>
      </c>
    </row>
    <row r="37" spans="1:10" x14ac:dyDescent="0.25">
      <c r="A37">
        <f t="shared" si="2"/>
        <v>0</v>
      </c>
      <c r="B37" s="84">
        <f t="shared" si="2"/>
        <v>0</v>
      </c>
      <c r="C37" s="84"/>
      <c r="D37" s="84"/>
      <c r="E37" s="84"/>
      <c r="F37" s="84"/>
      <c r="G37" s="84"/>
      <c r="H37" s="84"/>
      <c r="I37" s="41">
        <f t="shared" si="3"/>
        <v>0</v>
      </c>
      <c r="J37" s="41">
        <f t="shared" si="3"/>
        <v>0</v>
      </c>
    </row>
    <row r="38" spans="1:10" ht="15.75" thickBot="1" x14ac:dyDescent="0.3">
      <c r="A38">
        <f t="shared" si="2"/>
        <v>0</v>
      </c>
      <c r="B38" s="84">
        <f t="shared" si="2"/>
        <v>0</v>
      </c>
      <c r="C38" s="84"/>
      <c r="D38" s="84"/>
      <c r="E38" s="84"/>
      <c r="F38" s="84"/>
      <c r="G38" s="84"/>
      <c r="H38" s="84"/>
      <c r="I38" s="41">
        <f t="shared" si="3"/>
        <v>0</v>
      </c>
      <c r="J38" s="41">
        <f t="shared" si="3"/>
        <v>0</v>
      </c>
    </row>
    <row r="39" spans="1:10" ht="16.5" thickTop="1" thickBot="1" x14ac:dyDescent="0.3">
      <c r="A39" s="94" t="s">
        <v>54</v>
      </c>
      <c r="B39" s="94"/>
      <c r="C39" s="94"/>
      <c r="D39" s="94"/>
      <c r="E39" s="94"/>
      <c r="F39" s="94"/>
      <c r="G39" s="94"/>
      <c r="H39" s="94"/>
      <c r="I39" s="94"/>
      <c r="J39" s="64">
        <f>J17</f>
        <v>1320</v>
      </c>
    </row>
    <row r="40" spans="1:10" x14ac:dyDescent="0.25">
      <c r="B40" s="101" t="s">
        <v>87</v>
      </c>
      <c r="C40" s="102"/>
      <c r="D40" s="100" t="s">
        <v>86</v>
      </c>
      <c r="E40" s="117" t="s">
        <v>85</v>
      </c>
      <c r="F40" s="118"/>
      <c r="G40" s="107" t="s">
        <v>84</v>
      </c>
      <c r="H40" s="91"/>
      <c r="I40" s="91"/>
      <c r="J40" s="41">
        <f>J18</f>
        <v>79.2</v>
      </c>
    </row>
    <row r="41" spans="1:10" ht="6" customHeight="1" x14ac:dyDescent="0.25">
      <c r="B41" s="103"/>
      <c r="C41" s="104"/>
      <c r="D41" s="100"/>
      <c r="E41" s="119"/>
      <c r="F41" s="120"/>
      <c r="I41" s="9"/>
    </row>
    <row r="42" spans="1:10" ht="15.75" thickBot="1" x14ac:dyDescent="0.3">
      <c r="B42" s="105"/>
      <c r="C42" s="106"/>
      <c r="D42" s="100"/>
      <c r="E42" s="121"/>
      <c r="F42" s="122"/>
      <c r="I42" s="9" t="s">
        <v>68</v>
      </c>
      <c r="J42" s="41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Jimmy Hugo</cp:lastModifiedBy>
  <dcterms:created xsi:type="dcterms:W3CDTF">2015-06-05T18:17:20Z</dcterms:created>
  <dcterms:modified xsi:type="dcterms:W3CDTF">2026-06-30T14:19:54Z</dcterms:modified>
</cp:coreProperties>
</file>